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03"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docs.live.net/36e2f61fe0a88984/Machine Learning and HTA PhD (NIKOLAOS TAKATZOGLOU)/Stage 1 - Background information/Ai-assisted SLR/Manuscript Phase/"/>
    </mc:Choice>
  </mc:AlternateContent>
  <xr:revisionPtr revIDLastSave="0" documentId="8_{50CA40AD-7AD2-4DA6-9832-2A8E89BF23FE}" xr6:coauthVersionLast="47" xr6:coauthVersionMax="47" xr10:uidLastSave="{00000000-0000-0000-0000-000000000000}"/>
  <bookViews>
    <workbookView xWindow="5115" yWindow="9210" windowWidth="47475" windowHeight="22515" tabRatio="924" firstSheet="11" activeTab="11" xr2:uid="{64EE6AA5-3148-439E-8E50-52E40A836C69}"/>
  </bookViews>
  <sheets>
    <sheet name="All Full-Texts Included" sheetId="17" r:id="rId1"/>
    <sheet name="Country Counts" sheetId="18" r:id="rId2"/>
    <sheet name="Continent Counts" sheetId="23" r:id="rId3"/>
    <sheet name="Type of Source Counts" sheetId="19" r:id="rId4"/>
    <sheet name="Study Objective Counts" sheetId="20" r:id="rId5"/>
    <sheet name="Stat Methods Counts" sheetId="21" r:id="rId6"/>
    <sheet name="Years Counts" sheetId="22" r:id="rId7"/>
    <sheet name="Papers Identified from SLR" sheetId="1" r:id="rId8"/>
    <sheet name="Additional Papers - Other SLRs" sheetId="3" r:id="rId9"/>
    <sheet name="Estimates - Tech Charact" sheetId="14" r:id="rId10"/>
    <sheet name="Estimates - Countries Comp" sheetId="13" r:id="rId11"/>
    <sheet name="Estimates - Disease Char" sheetId="12" r:id="rId12"/>
    <sheet name="Estimates - Other Drivers" sheetId="11" r:id="rId13"/>
    <sheet name="Estimates - Clin Effectiveness" sheetId="7" r:id="rId14"/>
    <sheet name="Estimates - Clinical Evidence" sheetId="10" r:id="rId15"/>
    <sheet name="Estimates - Econ Drivers" sheetId="8" r:id="rId16"/>
    <sheet name="LCU to Int$ per year" sheetId="15" r:id="rId17"/>
    <sheet name="FINAL TABLES FOR ANALYSIS" sheetId="16" r:id="rId18"/>
  </sheets>
  <definedNames>
    <definedName name="_xlnm._FilterDatabase" localSheetId="0" hidden="1">'All Full-Texts Included'!$A$1:$W$49</definedName>
    <definedName name="_xlnm._FilterDatabase" localSheetId="13" hidden="1">'Estimates - Clin Effectiveness'!$AK$1:$AQ$21</definedName>
    <definedName name="_xlnm._FilterDatabase" localSheetId="14" hidden="1">'Estimates - Clinical Evidence'!$AK$1:$AQ$23</definedName>
    <definedName name="_xlnm._FilterDatabase" localSheetId="11" hidden="1">'Estimates - Disease Char'!$AM$1:$AS$49</definedName>
    <definedName name="_xlnm._FilterDatabase" localSheetId="15" hidden="1">'Estimates - Econ Drivers'!$AO$1:$AV$45</definedName>
    <definedName name="_xlnm._FilterDatabase" localSheetId="12" hidden="1">'Estimates - Other Drivers'!$AK$1:$AQ$29</definedName>
    <definedName name="_xlnm._FilterDatabase" localSheetId="9" hidden="1">'Estimates - Tech Charact'!$AV$1:$BB$9</definedName>
    <definedName name="_xlnm._FilterDatabase" localSheetId="7" hidden="1">'Papers Identified from SLR'!$A$2:$AK$68</definedName>
    <definedName name="_xleta.MIN" hidden="1" xlm="1">#NAME?</definedName>
    <definedName name="_xleta.NOT" hidden="1" xlm="1">#NAME?</definedName>
    <definedName name="_xleta.OR" hidden="1" xlm="1">#NAME?</definedName>
    <definedName name="_xleta.TEXT"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7" l="1"/>
  <c r="B3" i="23"/>
  <c r="B4" i="23"/>
  <c r="B5" i="23"/>
  <c r="B2" i="23"/>
  <c r="B19" i="22"/>
  <c r="B18" i="22"/>
  <c r="B17" i="22"/>
  <c r="B16" i="22"/>
  <c r="B15" i="22"/>
  <c r="B14" i="22"/>
  <c r="B13" i="22"/>
  <c r="B12" i="22"/>
  <c r="B11" i="22"/>
  <c r="B10" i="22"/>
  <c r="B9" i="22"/>
  <c r="B8" i="22"/>
  <c r="B7" i="22"/>
  <c r="B6" i="22"/>
  <c r="B5" i="22"/>
  <c r="B4" i="22"/>
  <c r="B3" i="22"/>
  <c r="B2" i="22"/>
  <c r="B4" i="21"/>
  <c r="B3" i="21"/>
  <c r="B2" i="21"/>
  <c r="B4" i="20"/>
  <c r="B3" i="20"/>
  <c r="B2" i="20"/>
  <c r="B4" i="19"/>
  <c r="B3" i="19"/>
  <c r="B2" i="19"/>
  <c r="B3" i="18"/>
  <c r="B4" i="18"/>
  <c r="B5" i="18"/>
  <c r="B6" i="18"/>
  <c r="B7" i="18"/>
  <c r="B8" i="18"/>
  <c r="B9" i="18"/>
  <c r="B10" i="18"/>
  <c r="B11" i="18"/>
  <c r="B12" i="18"/>
  <c r="B13" i="18"/>
  <c r="B14" i="18"/>
  <c r="B15" i="18"/>
  <c r="B16" i="18"/>
  <c r="B17" i="18"/>
  <c r="B18" i="18"/>
  <c r="B19" i="18"/>
  <c r="B20" i="18"/>
  <c r="B21" i="18"/>
  <c r="B22" i="18"/>
  <c r="B23" i="18"/>
  <c r="B24" i="18"/>
  <c r="B25" i="18"/>
  <c r="B26" i="18"/>
  <c r="B27" i="18"/>
  <c r="B28" i="18"/>
  <c r="B29" i="18"/>
  <c r="B30" i="18"/>
  <c r="B31" i="18"/>
  <c r="B32" i="18"/>
  <c r="B2" i="18"/>
  <c r="G26" i="10" l="1"/>
  <c r="F26" i="10"/>
  <c r="E26" i="10"/>
  <c r="AQ2" i="8"/>
  <c r="V70" i="8"/>
  <c r="W70" i="8"/>
  <c r="V71" i="8"/>
  <c r="W71" i="8"/>
  <c r="V72" i="8"/>
  <c r="W72" i="8"/>
  <c r="V73" i="8"/>
  <c r="W73" i="8"/>
  <c r="V74" i="8"/>
  <c r="W74" i="8"/>
  <c r="V75" i="8"/>
  <c r="W75" i="8"/>
  <c r="V76" i="8"/>
  <c r="W76" i="8"/>
  <c r="V77" i="8"/>
  <c r="W77" i="8"/>
  <c r="V78" i="8"/>
  <c r="W78" i="8"/>
  <c r="V79" i="8"/>
  <c r="W79" i="8"/>
  <c r="V80" i="8"/>
  <c r="W80" i="8"/>
  <c r="V81" i="8"/>
  <c r="W81" i="8"/>
  <c r="V82" i="8"/>
  <c r="W82" i="8"/>
  <c r="V83" i="8"/>
  <c r="W83" i="8"/>
  <c r="V84" i="8"/>
  <c r="W84" i="8"/>
  <c r="V68" i="8"/>
  <c r="W68" i="8"/>
  <c r="V69" i="8"/>
  <c r="W69" i="8"/>
  <c r="BE2" i="8" a="1"/>
  <c r="BE2" i="8" s="1"/>
  <c r="AQ3" i="8" s="1"/>
  <c r="BE3" i="8" a="1"/>
  <c r="BE3" i="8" s="1"/>
  <c r="AQ4" i="8" s="1"/>
  <c r="BE4" i="8" a="1"/>
  <c r="BE4" i="8" s="1"/>
  <c r="AQ5" i="8" s="1"/>
  <c r="BE5" i="8" a="1"/>
  <c r="BE5" i="8" s="1"/>
  <c r="AQ6" i="8" s="1"/>
  <c r="BE6" i="8" a="1"/>
  <c r="BE6" i="8" s="1"/>
  <c r="AQ7" i="8" s="1"/>
  <c r="BE7" i="8" a="1"/>
  <c r="BE7" i="8" s="1"/>
  <c r="AQ8" i="8" s="1"/>
  <c r="BE8" i="8" a="1"/>
  <c r="BE8" i="8" s="1"/>
  <c r="AQ9" i="8" s="1"/>
  <c r="BE9" i="8" a="1"/>
  <c r="BE9" i="8" s="1"/>
  <c r="AQ10" i="8" s="1"/>
  <c r="BE10" i="8" a="1"/>
  <c r="BE10" i="8" s="1"/>
  <c r="AQ11" i="8" s="1"/>
  <c r="BE11" i="8" a="1"/>
  <c r="BE11" i="8" s="1"/>
  <c r="AQ12" i="8" s="1"/>
  <c r="BE12" i="8" a="1"/>
  <c r="BE12" i="8" s="1"/>
  <c r="AQ13" i="8" s="1"/>
  <c r="BE13" i="8" a="1"/>
  <c r="BE13" i="8" s="1"/>
  <c r="AQ14" i="8" s="1"/>
  <c r="BE14" i="8" a="1"/>
  <c r="BE14" i="8" s="1"/>
  <c r="AQ15" i="8" s="1"/>
  <c r="BE15" i="8" a="1"/>
  <c r="BE15" i="8" s="1"/>
  <c r="AQ16" i="8" s="1"/>
  <c r="BE16" i="8" a="1"/>
  <c r="BE16" i="8" s="1"/>
  <c r="AQ17" i="8" s="1"/>
  <c r="BE17" i="8" a="1"/>
  <c r="BE17" i="8" s="1"/>
  <c r="AQ18" i="8" s="1"/>
  <c r="BE18" i="8" a="1"/>
  <c r="BE18" i="8" s="1"/>
  <c r="AQ19" i="8" s="1"/>
  <c r="BE19" i="8" a="1"/>
  <c r="BE19" i="8" s="1"/>
  <c r="AQ20" i="8" s="1"/>
  <c r="BE20" i="8" a="1"/>
  <c r="BE20" i="8" s="1"/>
  <c r="AQ21" i="8" s="1"/>
  <c r="BE21" i="8" a="1"/>
  <c r="BE21" i="8" s="1"/>
  <c r="AQ22" i="8" s="1"/>
  <c r="BE22" i="8" a="1"/>
  <c r="BE22" i="8" s="1"/>
  <c r="AQ23" i="8" s="1"/>
  <c r="BE23" i="8" a="1"/>
  <c r="BE23" i="8" s="1"/>
  <c r="AQ24" i="8" s="1"/>
  <c r="BE24" i="8" a="1"/>
  <c r="BE24" i="8" s="1"/>
  <c r="AQ25" i="8" s="1"/>
  <c r="BE25" i="8" a="1"/>
  <c r="BE25" i="8" s="1"/>
  <c r="AQ26" i="8" s="1"/>
  <c r="BE26" i="8" a="1"/>
  <c r="BE26" i="8" s="1"/>
  <c r="AQ27" i="8" s="1"/>
  <c r="BE27" i="8" a="1"/>
  <c r="BE27" i="8" s="1"/>
  <c r="AQ28" i="8" s="1"/>
  <c r="BE28" i="8" a="1"/>
  <c r="BE28" i="8" s="1"/>
  <c r="AQ29" i="8" s="1"/>
  <c r="BE29" i="8" a="1"/>
  <c r="BE29" i="8" s="1"/>
  <c r="AQ30" i="8" s="1"/>
  <c r="BE30" i="8" a="1"/>
  <c r="BE30" i="8" s="1"/>
  <c r="AQ31" i="8" s="1"/>
  <c r="BE31" i="8" a="1"/>
  <c r="BE31" i="8" s="1"/>
  <c r="AQ32" i="8" s="1"/>
  <c r="BE32" i="8" a="1"/>
  <c r="BE32" i="8" s="1"/>
  <c r="AQ33" i="8" s="1"/>
  <c r="BE33" i="8" a="1"/>
  <c r="BE33" i="8" s="1"/>
  <c r="AQ34" i="8" s="1"/>
  <c r="BE34" i="8" a="1"/>
  <c r="BE34" i="8" s="1"/>
  <c r="AQ35" i="8" s="1"/>
  <c r="BE35" i="8" a="1"/>
  <c r="BE35" i="8" s="1"/>
  <c r="AQ36" i="8" s="1"/>
  <c r="BE36" i="8" a="1"/>
  <c r="BE36" i="8" s="1"/>
  <c r="AQ37" i="8" s="1"/>
  <c r="BE37" i="8" a="1"/>
  <c r="BE37" i="8" s="1"/>
  <c r="AQ38" i="8" s="1"/>
  <c r="BE38" i="8" a="1"/>
  <c r="BE38" i="8" s="1"/>
  <c r="AQ39" i="8" s="1"/>
  <c r="BE39" i="8" a="1"/>
  <c r="BE39" i="8" s="1"/>
  <c r="AQ40" i="8" s="1"/>
  <c r="BE40" i="8" a="1"/>
  <c r="BE40" i="8" s="1"/>
  <c r="AQ41" i="8" s="1"/>
  <c r="BE41" i="8" a="1"/>
  <c r="BE41" i="8" s="1"/>
  <c r="AQ42" i="8" s="1"/>
  <c r="BE42" i="8" a="1"/>
  <c r="BE42" i="8" s="1"/>
  <c r="AQ43" i="8" s="1"/>
  <c r="BE43" i="8" a="1"/>
  <c r="BE43" i="8" s="1"/>
  <c r="AQ44" i="8" s="1"/>
  <c r="BE44" i="8" a="1"/>
  <c r="BE44" i="8" s="1"/>
  <c r="AQ45" i="8" s="1"/>
  <c r="BE1" i="8" a="1"/>
  <c r="BE1" i="8" s="1"/>
  <c r="BB2" i="8" a="1"/>
  <c r="BB2" i="8" s="1"/>
  <c r="W3" i="8" s="1"/>
  <c r="AC3" i="8" s="1"/>
  <c r="BB3" i="8" a="1"/>
  <c r="BB3" i="8" s="1"/>
  <c r="W4" i="8" s="1"/>
  <c r="AC4" i="8" s="1"/>
  <c r="BB4" i="8" a="1"/>
  <c r="BB4" i="8" s="1"/>
  <c r="W5" i="8" s="1"/>
  <c r="AC5" i="8" s="1"/>
  <c r="BB5" i="8" a="1"/>
  <c r="BB5" i="8" s="1"/>
  <c r="W6" i="8" s="1"/>
  <c r="AC6" i="8" s="1"/>
  <c r="BB6" i="8" a="1"/>
  <c r="BB6" i="8" s="1"/>
  <c r="W7" i="8" s="1"/>
  <c r="AC7" i="8" s="1"/>
  <c r="BB7" i="8" a="1"/>
  <c r="BB7" i="8" s="1"/>
  <c r="W8" i="8" s="1"/>
  <c r="AC8" i="8" s="1"/>
  <c r="BB8" i="8" a="1"/>
  <c r="BB8" i="8" s="1"/>
  <c r="W9" i="8" s="1"/>
  <c r="AC9" i="8" s="1"/>
  <c r="BB9" i="8" a="1"/>
  <c r="BB9" i="8" s="1"/>
  <c r="W10" i="8" s="1"/>
  <c r="AC10" i="8" s="1"/>
  <c r="BB10" i="8" a="1"/>
  <c r="BB10" i="8" s="1"/>
  <c r="W11" i="8" s="1"/>
  <c r="AC11" i="8" s="1"/>
  <c r="BB11" i="8" a="1"/>
  <c r="BB11" i="8" s="1"/>
  <c r="W12" i="8" s="1"/>
  <c r="AC12" i="8" s="1"/>
  <c r="BB12" i="8" a="1"/>
  <c r="BB12" i="8" s="1"/>
  <c r="W13" i="8" s="1"/>
  <c r="AC13" i="8" s="1"/>
  <c r="BB13" i="8" a="1"/>
  <c r="BB13" i="8" s="1"/>
  <c r="W14" i="8" s="1"/>
  <c r="AC14" i="8" s="1"/>
  <c r="BB14" i="8" a="1"/>
  <c r="BB14" i="8" s="1"/>
  <c r="W15" i="8" s="1"/>
  <c r="AC15" i="8" s="1"/>
  <c r="BB15" i="8" a="1"/>
  <c r="BB15" i="8" s="1"/>
  <c r="W16" i="8" s="1"/>
  <c r="AC16" i="8" s="1"/>
  <c r="BB16" i="8" a="1"/>
  <c r="BB16" i="8" s="1"/>
  <c r="W17" i="8" s="1"/>
  <c r="AC17" i="8" s="1"/>
  <c r="BB17" i="8" a="1"/>
  <c r="BB17" i="8" s="1"/>
  <c r="W18" i="8" s="1"/>
  <c r="AC18" i="8" s="1"/>
  <c r="BB18" i="8" a="1"/>
  <c r="BB18" i="8" s="1"/>
  <c r="W19" i="8" s="1"/>
  <c r="AC19" i="8" s="1"/>
  <c r="BB19" i="8" a="1"/>
  <c r="BB19" i="8" s="1"/>
  <c r="W20" i="8" s="1"/>
  <c r="AC20" i="8" s="1"/>
  <c r="BB20" i="8" a="1"/>
  <c r="BB20" i="8" s="1"/>
  <c r="W21" i="8" s="1"/>
  <c r="AC21" i="8" s="1"/>
  <c r="BB21" i="8" a="1"/>
  <c r="BB21" i="8" s="1"/>
  <c r="W22" i="8" s="1"/>
  <c r="AC22" i="8" s="1"/>
  <c r="BB22" i="8" a="1"/>
  <c r="BB22" i="8" s="1"/>
  <c r="W23" i="8" s="1"/>
  <c r="AC23" i="8" s="1"/>
  <c r="BB23" i="8" a="1"/>
  <c r="BB23" i="8" s="1"/>
  <c r="W24" i="8" s="1"/>
  <c r="AC24" i="8" s="1"/>
  <c r="BB24" i="8" a="1"/>
  <c r="BB24" i="8" s="1"/>
  <c r="W25" i="8" s="1"/>
  <c r="AC25" i="8" s="1"/>
  <c r="BB25" i="8" a="1"/>
  <c r="BB25" i="8" s="1"/>
  <c r="W26" i="8" s="1"/>
  <c r="AC26" i="8" s="1"/>
  <c r="BB26" i="8" a="1"/>
  <c r="BB26" i="8" s="1"/>
  <c r="W27" i="8" s="1"/>
  <c r="AC27" i="8" s="1"/>
  <c r="BB27" i="8" a="1"/>
  <c r="BB27" i="8" s="1"/>
  <c r="W28" i="8" s="1"/>
  <c r="AC28" i="8" s="1"/>
  <c r="BB28" i="8" a="1"/>
  <c r="BB28" i="8" s="1"/>
  <c r="W29" i="8" s="1"/>
  <c r="AC29" i="8" s="1"/>
  <c r="BB29" i="8" a="1"/>
  <c r="BB29" i="8" s="1"/>
  <c r="W30" i="8" s="1"/>
  <c r="AC30" i="8" s="1"/>
  <c r="BB30" i="8" a="1"/>
  <c r="BB30" i="8" s="1"/>
  <c r="W31" i="8" s="1"/>
  <c r="AC31" i="8" s="1"/>
  <c r="BB31" i="8" a="1"/>
  <c r="BB31" i="8" s="1"/>
  <c r="W32" i="8" s="1"/>
  <c r="AC32" i="8" s="1"/>
  <c r="BB32" i="8" a="1"/>
  <c r="BB32" i="8" s="1"/>
  <c r="W33" i="8" s="1"/>
  <c r="AC33" i="8" s="1"/>
  <c r="BB33" i="8" a="1"/>
  <c r="BB33" i="8" s="1"/>
  <c r="W34" i="8" s="1"/>
  <c r="AC34" i="8" s="1"/>
  <c r="BB34" i="8" a="1"/>
  <c r="BB34" i="8" s="1"/>
  <c r="W35" i="8" s="1"/>
  <c r="AC35" i="8" s="1"/>
  <c r="BB35" i="8" a="1"/>
  <c r="BB35" i="8" s="1"/>
  <c r="W36" i="8" s="1"/>
  <c r="AC36" i="8" s="1"/>
  <c r="BB36" i="8" a="1"/>
  <c r="BB36" i="8" s="1"/>
  <c r="W37" i="8" s="1"/>
  <c r="AC37" i="8" s="1"/>
  <c r="BB37" i="8" a="1"/>
  <c r="BB37" i="8" s="1"/>
  <c r="W38" i="8" s="1"/>
  <c r="AC38" i="8" s="1"/>
  <c r="BB38" i="8" a="1"/>
  <c r="BB38" i="8" s="1"/>
  <c r="W39" i="8" s="1"/>
  <c r="AC39" i="8" s="1"/>
  <c r="BB39" i="8" a="1"/>
  <c r="BB39" i="8" s="1"/>
  <c r="W40" i="8" s="1"/>
  <c r="AC40" i="8" s="1"/>
  <c r="BB40" i="8" a="1"/>
  <c r="BB40" i="8" s="1"/>
  <c r="W41" i="8" s="1"/>
  <c r="AC41" i="8" s="1"/>
  <c r="BB41" i="8" a="1"/>
  <c r="BB41" i="8" s="1"/>
  <c r="W42" i="8" s="1"/>
  <c r="AC42" i="8" s="1"/>
  <c r="BB42" i="8" a="1"/>
  <c r="BB42" i="8" s="1"/>
  <c r="W43" i="8" s="1"/>
  <c r="AC43" i="8" s="1"/>
  <c r="BB43" i="8" a="1"/>
  <c r="BB43" i="8" s="1"/>
  <c r="W44" i="8" s="1"/>
  <c r="AC44" i="8" s="1"/>
  <c r="BB44" i="8" a="1"/>
  <c r="BB44" i="8" s="1"/>
  <c r="W45" i="8" s="1"/>
  <c r="AC45" i="8" s="1"/>
  <c r="BB45" i="8" a="1"/>
  <c r="BB45" i="8" s="1"/>
  <c r="W46" i="8" s="1"/>
  <c r="AC46" i="8" s="1"/>
  <c r="BB46" i="8" a="1"/>
  <c r="BB46" i="8" s="1"/>
  <c r="W47" i="8" s="1"/>
  <c r="AC47" i="8" s="1"/>
  <c r="BB47" i="8" a="1"/>
  <c r="BB47" i="8" s="1"/>
  <c r="W48" i="8" s="1"/>
  <c r="AC48" i="8" s="1"/>
  <c r="BB48" i="8" a="1"/>
  <c r="BB48" i="8" s="1"/>
  <c r="W49" i="8" s="1"/>
  <c r="AC49" i="8" s="1"/>
  <c r="BB49" i="8" a="1"/>
  <c r="BB49" i="8" s="1"/>
  <c r="W50" i="8" s="1"/>
  <c r="AC50" i="8" s="1"/>
  <c r="BB50" i="8" a="1"/>
  <c r="BB50" i="8" s="1"/>
  <c r="W51" i="8" s="1"/>
  <c r="AC51" i="8" s="1"/>
  <c r="BB51" i="8" a="1"/>
  <c r="BB51" i="8" s="1"/>
  <c r="W52" i="8" s="1"/>
  <c r="AC52" i="8" s="1"/>
  <c r="BB52" i="8" a="1"/>
  <c r="BB52" i="8" s="1"/>
  <c r="W53" i="8" s="1"/>
  <c r="AC53" i="8" s="1"/>
  <c r="BB53" i="8" a="1"/>
  <c r="BB53" i="8" s="1"/>
  <c r="W54" i="8" s="1"/>
  <c r="AC54" i="8" s="1"/>
  <c r="BB54" i="8" a="1"/>
  <c r="BB54" i="8" s="1"/>
  <c r="W55" i="8" s="1"/>
  <c r="AC55" i="8" s="1"/>
  <c r="BB55" i="8" a="1"/>
  <c r="BB55" i="8" s="1"/>
  <c r="W56" i="8" s="1"/>
  <c r="AC56" i="8" s="1"/>
  <c r="BB56" i="8" a="1"/>
  <c r="BB56" i="8" s="1"/>
  <c r="W57" i="8" s="1"/>
  <c r="AC57" i="8" s="1"/>
  <c r="BB57" i="8" a="1"/>
  <c r="BB57" i="8" s="1"/>
  <c r="W58" i="8" s="1"/>
  <c r="AC58" i="8" s="1"/>
  <c r="BB58" i="8" a="1"/>
  <c r="BB58" i="8" s="1"/>
  <c r="W59" i="8" s="1"/>
  <c r="AC59" i="8" s="1"/>
  <c r="BB59" i="8" a="1"/>
  <c r="BB59" i="8" s="1"/>
  <c r="W60" i="8" s="1"/>
  <c r="AC60" i="8" s="1"/>
  <c r="BB60" i="8" a="1"/>
  <c r="BB60" i="8" s="1"/>
  <c r="W61" i="8" s="1"/>
  <c r="AC61" i="8" s="1"/>
  <c r="BB61" i="8" a="1"/>
  <c r="BB61" i="8" s="1"/>
  <c r="W62" i="8" s="1"/>
  <c r="AC62" i="8" s="1"/>
  <c r="BB62" i="8" a="1"/>
  <c r="BB62" i="8" s="1"/>
  <c r="W63" i="8" s="1"/>
  <c r="AC63" i="8" s="1"/>
  <c r="BB63" i="8" a="1"/>
  <c r="BB63" i="8" s="1"/>
  <c r="W64" i="8" s="1"/>
  <c r="AC64" i="8" s="1"/>
  <c r="BB64" i="8" a="1"/>
  <c r="BB64" i="8" s="1"/>
  <c r="W65" i="8" s="1"/>
  <c r="AC65" i="8" s="1"/>
  <c r="BB65" i="8" a="1"/>
  <c r="BB65" i="8" s="1"/>
  <c r="W66" i="8" s="1"/>
  <c r="AC66" i="8" s="1"/>
  <c r="BB66" i="8" a="1"/>
  <c r="BB66" i="8" s="1"/>
  <c r="W67" i="8" s="1"/>
  <c r="AC67" i="8" s="1"/>
  <c r="BB1" i="8" a="1"/>
  <c r="BB1" i="8" s="1"/>
  <c r="W2" i="8" s="1"/>
  <c r="AC2" i="8" s="1"/>
  <c r="AZ1" i="8" a="1"/>
  <c r="AZ1" i="8" s="1"/>
  <c r="BA1" i="8" s="1" a="1"/>
  <c r="BA1" i="8" s="1"/>
  <c r="V2" i="8" s="1"/>
  <c r="AK16" i="10"/>
  <c r="AL16" i="10"/>
  <c r="AK17" i="10"/>
  <c r="AL17" i="10"/>
  <c r="AK18" i="10"/>
  <c r="AL18" i="10"/>
  <c r="AK19" i="10"/>
  <c r="AL19" i="10"/>
  <c r="AK20" i="10"/>
  <c r="AL20" i="10"/>
  <c r="AK21" i="10"/>
  <c r="AL21" i="10"/>
  <c r="AK22" i="10"/>
  <c r="AL22" i="10"/>
  <c r="AK23" i="10"/>
  <c r="AL23" i="10"/>
  <c r="AL14" i="10"/>
  <c r="AL6" i="10"/>
  <c r="AL2" i="10"/>
  <c r="AZ11" i="10" a="1"/>
  <c r="AZ11" i="10" s="1"/>
  <c r="AL12" i="10" s="1"/>
  <c r="AZ12" i="10" a="1"/>
  <c r="AZ12" i="10" s="1"/>
  <c r="AL13" i="10" s="1"/>
  <c r="AZ13" i="10" a="1"/>
  <c r="AZ13" i="10" s="1"/>
  <c r="AZ14" i="10" a="1"/>
  <c r="AZ14" i="10" s="1"/>
  <c r="AL15" i="10" s="1"/>
  <c r="AZ2" i="10" a="1"/>
  <c r="AZ2" i="10" s="1"/>
  <c r="AL3" i="10" s="1"/>
  <c r="AZ3" i="10" a="1"/>
  <c r="AZ3" i="10" s="1"/>
  <c r="AL4" i="10" s="1"/>
  <c r="AZ4" i="10" a="1"/>
  <c r="AZ4" i="10" s="1"/>
  <c r="AL5" i="10" s="1"/>
  <c r="AZ5" i="10" a="1"/>
  <c r="AZ5" i="10" s="1"/>
  <c r="AZ6" i="10" a="1"/>
  <c r="AZ6" i="10" s="1"/>
  <c r="AL7" i="10" s="1"/>
  <c r="AZ7" i="10" a="1"/>
  <c r="AZ7" i="10" s="1"/>
  <c r="AL8" i="10" s="1"/>
  <c r="AZ8" i="10" a="1"/>
  <c r="AZ8" i="10" s="1"/>
  <c r="AL9" i="10" s="1"/>
  <c r="AZ9" i="10" a="1"/>
  <c r="AZ9" i="10" s="1"/>
  <c r="AL10" i="10" s="1"/>
  <c r="AZ10" i="10" a="1"/>
  <c r="AZ10" i="10" s="1"/>
  <c r="AL11" i="10" s="1"/>
  <c r="AZ1" i="10" a="1"/>
  <c r="AZ1" i="10" s="1"/>
  <c r="AQ3" i="14" a="1"/>
  <c r="AQ3" i="14" s="1"/>
  <c r="AQ4" i="14" a="1"/>
  <c r="AQ4" i="14" s="1"/>
  <c r="AQ5" i="14" a="1"/>
  <c r="AQ5" i="14" s="1"/>
  <c r="AQ6" i="14" a="1"/>
  <c r="AQ6" i="14" s="1"/>
  <c r="AQ7" i="14" a="1"/>
  <c r="AQ7" i="14" s="1"/>
  <c r="AQ8" i="14" a="1"/>
  <c r="AQ8" i="14" s="1"/>
  <c r="AQ9" i="14" a="1"/>
  <c r="AQ9" i="14" s="1"/>
  <c r="AQ2" i="14" a="1"/>
  <c r="AQ2" i="14" s="1"/>
  <c r="AL2" i="7"/>
  <c r="BB5" i="7" a="1"/>
  <c r="BB5" i="7" s="1"/>
  <c r="AL6" i="7" s="1"/>
  <c r="BB6" i="7" a="1"/>
  <c r="BB6" i="7" s="1"/>
  <c r="AL7" i="7" s="1"/>
  <c r="BB7" i="7" a="1"/>
  <c r="BB7" i="7" s="1"/>
  <c r="AL8" i="7" s="1"/>
  <c r="BB8" i="7" a="1"/>
  <c r="BB8" i="7" s="1"/>
  <c r="AL9" i="7" s="1"/>
  <c r="BB9" i="7" a="1"/>
  <c r="BB9" i="7" s="1"/>
  <c r="AL10" i="7" s="1"/>
  <c r="BB10" i="7" a="1"/>
  <c r="BB10" i="7" s="1"/>
  <c r="AL11" i="7" s="1"/>
  <c r="BB11" i="7" a="1"/>
  <c r="BB11" i="7" s="1"/>
  <c r="AL12" i="7" s="1"/>
  <c r="BB12" i="7" a="1"/>
  <c r="BB12" i="7" s="1"/>
  <c r="AL13" i="7" s="1"/>
  <c r="BB13" i="7" a="1"/>
  <c r="BB13" i="7" s="1"/>
  <c r="AL14" i="7" s="1"/>
  <c r="BB14" i="7" a="1"/>
  <c r="BB14" i="7" s="1"/>
  <c r="AL15" i="7" s="1"/>
  <c r="BB15" i="7" a="1"/>
  <c r="BB15" i="7" s="1"/>
  <c r="AL16" i="7" s="1"/>
  <c r="BB16" i="7" a="1"/>
  <c r="BB16" i="7" s="1"/>
  <c r="AL17" i="7" s="1"/>
  <c r="BB17" i="7" a="1"/>
  <c r="BB17" i="7" s="1"/>
  <c r="AL18" i="7" s="1"/>
  <c r="BB18" i="7" a="1"/>
  <c r="BB18" i="7" s="1"/>
  <c r="AL19" i="7" s="1"/>
  <c r="BB19" i="7" a="1"/>
  <c r="BB19" i="7" s="1"/>
  <c r="AL20" i="7" s="1"/>
  <c r="BB20" i="7" a="1"/>
  <c r="BB20" i="7" s="1"/>
  <c r="AL21" i="7" s="1"/>
  <c r="BB2" i="7" a="1"/>
  <c r="BB2" i="7" s="1"/>
  <c r="AL3" i="7" s="1"/>
  <c r="BB3" i="7" a="1"/>
  <c r="BB3" i="7" s="1"/>
  <c r="AL4" i="7" s="1"/>
  <c r="BB4" i="7" a="1"/>
  <c r="BB4" i="7" s="1"/>
  <c r="AL5" i="7" s="1"/>
  <c r="BB1" i="7" a="1"/>
  <c r="BB1" i="7" s="1"/>
  <c r="AL2" i="11"/>
  <c r="BA23" i="11" a="1"/>
  <c r="BA23" i="11" s="1"/>
  <c r="AL24" i="11" s="1"/>
  <c r="BA24" i="11" a="1"/>
  <c r="BA24" i="11" s="1"/>
  <c r="AL25" i="11" s="1"/>
  <c r="BA25" i="11" a="1"/>
  <c r="BA25" i="11" s="1"/>
  <c r="AL26" i="11" s="1"/>
  <c r="BA26" i="11" a="1"/>
  <c r="BA26" i="11" s="1"/>
  <c r="AL27" i="11" s="1"/>
  <c r="BA27" i="11" a="1"/>
  <c r="BA27" i="11" s="1"/>
  <c r="AL28" i="11" s="1"/>
  <c r="BA28" i="11" a="1"/>
  <c r="BA28" i="11" s="1"/>
  <c r="AL29" i="11" s="1"/>
  <c r="BA19" i="11" a="1"/>
  <c r="BA19" i="11" s="1"/>
  <c r="AL20" i="11" s="1"/>
  <c r="BA20" i="11" a="1"/>
  <c r="BA20" i="11" s="1"/>
  <c r="AL21" i="11" s="1"/>
  <c r="BA21" i="11" a="1"/>
  <c r="BA21" i="11" s="1"/>
  <c r="AL22" i="11" s="1"/>
  <c r="BA22" i="11" a="1"/>
  <c r="BA22" i="11" s="1"/>
  <c r="AL23" i="11" s="1"/>
  <c r="BA7" i="11" a="1"/>
  <c r="BA7" i="11" s="1"/>
  <c r="AL8" i="11" s="1"/>
  <c r="BA8" i="11" a="1"/>
  <c r="BA8" i="11" s="1"/>
  <c r="AL9" i="11" s="1"/>
  <c r="BA9" i="11" a="1"/>
  <c r="BA9" i="11" s="1"/>
  <c r="AL10" i="11" s="1"/>
  <c r="BA10" i="11" a="1"/>
  <c r="BA10" i="11" s="1"/>
  <c r="AL11" i="11" s="1"/>
  <c r="BA11" i="11" a="1"/>
  <c r="BA11" i="11" s="1"/>
  <c r="AL12" i="11" s="1"/>
  <c r="BA12" i="11" a="1"/>
  <c r="BA12" i="11" s="1"/>
  <c r="AL13" i="11" s="1"/>
  <c r="BA13" i="11" a="1"/>
  <c r="BA13" i="11" s="1"/>
  <c r="AL14" i="11" s="1"/>
  <c r="BA14" i="11" a="1"/>
  <c r="BA14" i="11" s="1"/>
  <c r="AL15" i="11" s="1"/>
  <c r="BA15" i="11" a="1"/>
  <c r="BA15" i="11" s="1"/>
  <c r="AL16" i="11" s="1"/>
  <c r="BA16" i="11" a="1"/>
  <c r="BA16" i="11" s="1"/>
  <c r="AL17" i="11" s="1"/>
  <c r="BA17" i="11" a="1"/>
  <c r="BA17" i="11" s="1"/>
  <c r="AL18" i="11" s="1"/>
  <c r="BA18" i="11" a="1"/>
  <c r="BA18" i="11" s="1"/>
  <c r="AL19" i="11" s="1"/>
  <c r="BA2" i="11" a="1"/>
  <c r="BA2" i="11" s="1"/>
  <c r="AL3" i="11" s="1"/>
  <c r="BA3" i="11" a="1"/>
  <c r="BA3" i="11" s="1"/>
  <c r="AL4" i="11" s="1"/>
  <c r="BA4" i="11" a="1"/>
  <c r="BA4" i="11" s="1"/>
  <c r="AL5" i="11" s="1"/>
  <c r="BA5" i="11" a="1"/>
  <c r="BA5" i="11" s="1"/>
  <c r="AL6" i="11" s="1"/>
  <c r="BA6" i="11" a="1"/>
  <c r="BA6" i="11" s="1"/>
  <c r="AL7" i="11" s="1"/>
  <c r="BA1" i="11" a="1"/>
  <c r="BA1" i="11" s="1"/>
  <c r="AJ71" i="12"/>
  <c r="AJ72" i="12"/>
  <c r="AJ73" i="12"/>
  <c r="BG2" i="12" a="1"/>
  <c r="BG2" i="12" s="1"/>
  <c r="AN3" i="12" s="1"/>
  <c r="BG3" i="12" a="1"/>
  <c r="BG3" i="12" s="1"/>
  <c r="AN4" i="12" s="1"/>
  <c r="BG4" i="12" a="1"/>
  <c r="BG4" i="12" s="1"/>
  <c r="AN5" i="12" s="1"/>
  <c r="BG5" i="12" a="1"/>
  <c r="BG5" i="12" s="1"/>
  <c r="AN6" i="12" s="1"/>
  <c r="BG6" i="12" a="1"/>
  <c r="BG6" i="12" s="1"/>
  <c r="AN7" i="12" s="1"/>
  <c r="BG7" i="12" a="1"/>
  <c r="BG7" i="12" s="1"/>
  <c r="AN8" i="12" s="1"/>
  <c r="BG8" i="12" a="1"/>
  <c r="BG8" i="12" s="1"/>
  <c r="AN9" i="12" s="1"/>
  <c r="BG9" i="12" a="1"/>
  <c r="BG9" i="12" s="1"/>
  <c r="AN10" i="12" s="1"/>
  <c r="BG10" i="12" a="1"/>
  <c r="BG10" i="12" s="1"/>
  <c r="AN11" i="12" s="1"/>
  <c r="BG11" i="12" a="1"/>
  <c r="BG11" i="12" s="1"/>
  <c r="AN12" i="12" s="1"/>
  <c r="BG12" i="12" a="1"/>
  <c r="BG12" i="12" s="1"/>
  <c r="AN13" i="12" s="1"/>
  <c r="BG13" i="12" a="1"/>
  <c r="BG13" i="12" s="1"/>
  <c r="AN14" i="12" s="1"/>
  <c r="BG14" i="12" a="1"/>
  <c r="BG14" i="12" s="1"/>
  <c r="AN15" i="12" s="1"/>
  <c r="BG15" i="12" a="1"/>
  <c r="BG15" i="12" s="1"/>
  <c r="AN16" i="12" s="1"/>
  <c r="BG16" i="12" a="1"/>
  <c r="BG16" i="12" s="1"/>
  <c r="AN17" i="12" s="1"/>
  <c r="BG17" i="12" a="1"/>
  <c r="BG17" i="12" s="1"/>
  <c r="AN18" i="12" s="1"/>
  <c r="BG18" i="12" a="1"/>
  <c r="BG18" i="12" s="1"/>
  <c r="AN19" i="12" s="1"/>
  <c r="BG19" i="12" a="1"/>
  <c r="BG19" i="12" s="1"/>
  <c r="AN20" i="12" s="1"/>
  <c r="BG20" i="12" a="1"/>
  <c r="BG20" i="12" s="1"/>
  <c r="AN21" i="12" s="1"/>
  <c r="BG21" i="12" a="1"/>
  <c r="BG21" i="12" s="1"/>
  <c r="AN22" i="12" s="1"/>
  <c r="BG22" i="12" a="1"/>
  <c r="BG22" i="12" s="1"/>
  <c r="AN23" i="12" s="1"/>
  <c r="BG23" i="12" a="1"/>
  <c r="BG23" i="12" s="1"/>
  <c r="AN24" i="12" s="1"/>
  <c r="BG24" i="12" a="1"/>
  <c r="BG24" i="12" s="1"/>
  <c r="AN25" i="12" s="1"/>
  <c r="BG25" i="12" a="1"/>
  <c r="BG25" i="12" s="1"/>
  <c r="AN26" i="12" s="1"/>
  <c r="BG26" i="12" a="1"/>
  <c r="BG26" i="12" s="1"/>
  <c r="AN27" i="12" s="1"/>
  <c r="BG27" i="12" a="1"/>
  <c r="BG27" i="12" s="1"/>
  <c r="AN28" i="12" s="1"/>
  <c r="BG28" i="12" a="1"/>
  <c r="BG28" i="12" s="1"/>
  <c r="AN29" i="12" s="1"/>
  <c r="BG29" i="12" a="1"/>
  <c r="BG29" i="12" s="1"/>
  <c r="AN30" i="12" s="1"/>
  <c r="BG30" i="12" a="1"/>
  <c r="BG30" i="12" s="1"/>
  <c r="AN31" i="12" s="1"/>
  <c r="BG31" i="12" a="1"/>
  <c r="BG31" i="12" s="1"/>
  <c r="AN32" i="12" s="1"/>
  <c r="BG32" i="12" a="1"/>
  <c r="BG32" i="12" s="1"/>
  <c r="AN33" i="12" s="1"/>
  <c r="BG33" i="12" a="1"/>
  <c r="BG33" i="12" s="1"/>
  <c r="AN34" i="12" s="1"/>
  <c r="BG34" i="12" a="1"/>
  <c r="BG34" i="12" s="1"/>
  <c r="AN35" i="12" s="1"/>
  <c r="BG35" i="12" a="1"/>
  <c r="BG35" i="12" s="1"/>
  <c r="AN36" i="12" s="1"/>
  <c r="BG36" i="12" a="1"/>
  <c r="BG36" i="12" s="1"/>
  <c r="AN37" i="12" s="1"/>
  <c r="BG37" i="12" a="1"/>
  <c r="BG37" i="12" s="1"/>
  <c r="AN38" i="12" s="1"/>
  <c r="BG38" i="12" a="1"/>
  <c r="BG38" i="12" s="1"/>
  <c r="AN39" i="12" s="1"/>
  <c r="BG39" i="12" a="1"/>
  <c r="BG39" i="12" s="1"/>
  <c r="AN40" i="12" s="1"/>
  <c r="BG40" i="12" a="1"/>
  <c r="BG40" i="12" s="1"/>
  <c r="AN41" i="12" s="1"/>
  <c r="BG41" i="12" a="1"/>
  <c r="BG41" i="12" s="1"/>
  <c r="AN42" i="12" s="1"/>
  <c r="BG42" i="12" a="1"/>
  <c r="BG42" i="12" s="1"/>
  <c r="AN43" i="12" s="1"/>
  <c r="BG43" i="12" a="1"/>
  <c r="BG43" i="12" s="1"/>
  <c r="AN44" i="12" s="1"/>
  <c r="BG44" i="12" a="1"/>
  <c r="BG44" i="12" s="1"/>
  <c r="AN45" i="12" s="1"/>
  <c r="BG45" i="12" a="1"/>
  <c r="BG45" i="12" s="1"/>
  <c r="AN46" i="12" s="1"/>
  <c r="BG46" i="12" a="1"/>
  <c r="BG46" i="12" s="1"/>
  <c r="AN47" i="12" s="1"/>
  <c r="BG47" i="12" a="1"/>
  <c r="BG47" i="12" s="1"/>
  <c r="AN48" i="12" s="1"/>
  <c r="BG48" i="12" a="1"/>
  <c r="BG48" i="12" s="1"/>
  <c r="AN49" i="12" s="1"/>
  <c r="BG49" i="12" a="1"/>
  <c r="BG49" i="12" s="1"/>
  <c r="BG50" i="12" a="1"/>
  <c r="BG50" i="12" s="1"/>
  <c r="BG51" i="12" a="1"/>
  <c r="BG51" i="12" s="1"/>
  <c r="BG52" i="12" a="1"/>
  <c r="BG52" i="12" s="1"/>
  <c r="BG53" i="12" a="1"/>
  <c r="BG53" i="12" s="1"/>
  <c r="BG54" i="12" a="1"/>
  <c r="BG54" i="12" s="1"/>
  <c r="BG55" i="12" a="1"/>
  <c r="BG55" i="12" s="1"/>
  <c r="BG56" i="12" a="1"/>
  <c r="BG56" i="12" s="1"/>
  <c r="BG1" i="12" a="1"/>
  <c r="BG1" i="12" s="1"/>
  <c r="AN2" i="12" s="1"/>
  <c r="BF50" i="12" a="1"/>
  <c r="BF50" i="12" s="1"/>
  <c r="BF51" i="12" a="1"/>
  <c r="BF51" i="12" s="1"/>
  <c r="BF52" i="12" a="1"/>
  <c r="BF52" i="12" s="1"/>
  <c r="BF53" i="12" a="1"/>
  <c r="BF53" i="12" s="1"/>
  <c r="BF54" i="12" a="1"/>
  <c r="BF54" i="12" s="1"/>
  <c r="BF55" i="12" a="1"/>
  <c r="BF55" i="12" s="1"/>
  <c r="BF56" i="12" a="1"/>
  <c r="BF56" i="12" s="1"/>
  <c r="BF49" i="12" a="1"/>
  <c r="BF49" i="12" s="1"/>
  <c r="BA3" i="13" a="1"/>
  <c r="BA3" i="13" s="1"/>
  <c r="AV3" i="13"/>
  <c r="AV2" i="13"/>
  <c r="BB3" i="13" a="1"/>
  <c r="BB3" i="13" s="1"/>
  <c r="AZ3" i="13"/>
  <c r="AY3" i="13"/>
  <c r="BB2" i="13" a="1"/>
  <c r="BB2" i="13" s="1"/>
  <c r="BA2" i="13" a="1"/>
  <c r="BA2" i="13" s="1"/>
  <c r="AZ2" i="13"/>
  <c r="AY2" i="13"/>
  <c r="AX2" i="13" s="1"/>
  <c r="AS3" i="13"/>
  <c r="AM3" i="13"/>
  <c r="AS2" i="13"/>
  <c r="X3" i="13" a="1"/>
  <c r="X3" i="13" s="1"/>
  <c r="W3" i="13" a="1"/>
  <c r="W3" i="13" s="1"/>
  <c r="AB3" i="13"/>
  <c r="AB2" i="13"/>
  <c r="AF2" i="13" s="1"/>
  <c r="Y3" i="13"/>
  <c r="R3" i="13"/>
  <c r="X2" i="13" a="1"/>
  <c r="X2" i="13" s="1"/>
  <c r="Y2" i="13"/>
  <c r="W2" i="13" a="1"/>
  <c r="W2" i="13" s="1"/>
  <c r="V2" i="13"/>
  <c r="U2" i="13"/>
  <c r="AN4" i="14"/>
  <c r="AN6" i="14"/>
  <c r="AO3" i="14"/>
  <c r="AN3" i="14" s="1"/>
  <c r="AP3" i="14"/>
  <c r="AR3" i="14" a="1"/>
  <c r="AR3" i="14" s="1"/>
  <c r="AS3" i="14"/>
  <c r="AO4" i="14"/>
  <c r="AP4" i="14"/>
  <c r="AR4" i="14" a="1"/>
  <c r="AR4" i="14" s="1"/>
  <c r="AS4" i="14"/>
  <c r="AO5" i="14"/>
  <c r="AN5" i="14" s="1"/>
  <c r="AP5" i="14"/>
  <c r="AR5" i="14" a="1"/>
  <c r="AR5" i="14" s="1"/>
  <c r="AS5" i="14"/>
  <c r="AO6" i="14"/>
  <c r="AP6" i="14"/>
  <c r="AR6" i="14" a="1"/>
  <c r="AR6" i="14" s="1"/>
  <c r="AS6" i="14"/>
  <c r="AO7" i="14"/>
  <c r="AN7" i="14" s="1"/>
  <c r="AP7" i="14"/>
  <c r="AR7" i="14" a="1"/>
  <c r="AR7" i="14" s="1"/>
  <c r="AS7" i="14"/>
  <c r="AZ7" i="14" s="1"/>
  <c r="AO8" i="14"/>
  <c r="AP8" i="14"/>
  <c r="AR8" i="14" a="1"/>
  <c r="AR8" i="14" s="1"/>
  <c r="AS8" i="14"/>
  <c r="AO9" i="14"/>
  <c r="AN9" i="14" s="1"/>
  <c r="AP9" i="14"/>
  <c r="AR9" i="14" a="1"/>
  <c r="AR9" i="14" s="1"/>
  <c r="AS9" i="14"/>
  <c r="AR2" i="14" a="1"/>
  <c r="AR2" i="14" s="1"/>
  <c r="AP2" i="14"/>
  <c r="AO2" i="14"/>
  <c r="AN2" i="14" s="1"/>
  <c r="X2" i="14" a="1"/>
  <c r="X2" i="14" s="1"/>
  <c r="AS2" i="14"/>
  <c r="AF8" i="14"/>
  <c r="AE6" i="14"/>
  <c r="Y3" i="14"/>
  <c r="AE3" i="14" s="1"/>
  <c r="Y4" i="14"/>
  <c r="Y5" i="14"/>
  <c r="Y6" i="14"/>
  <c r="Y7" i="14"/>
  <c r="Y8" i="14"/>
  <c r="AE8" i="14" s="1"/>
  <c r="AD8" i="14" s="1"/>
  <c r="Y9" i="14"/>
  <c r="AF9" i="14" s="1"/>
  <c r="Y2" i="14"/>
  <c r="V6" i="14"/>
  <c r="AF5" i="14" s="1"/>
  <c r="U3" i="14"/>
  <c r="V3" i="14"/>
  <c r="U6" i="14"/>
  <c r="U7" i="14"/>
  <c r="V7" i="14"/>
  <c r="AF7" i="14" s="1"/>
  <c r="U8" i="14"/>
  <c r="V8" i="14"/>
  <c r="U9" i="14"/>
  <c r="T9" i="14" s="1"/>
  <c r="V9" i="14"/>
  <c r="G21" i="10"/>
  <c r="F21" i="10"/>
  <c r="E21" i="10"/>
  <c r="G77" i="12"/>
  <c r="F77" i="12"/>
  <c r="E70" i="10"/>
  <c r="G40" i="10"/>
  <c r="F40" i="10"/>
  <c r="E40" i="10"/>
  <c r="E43" i="10"/>
  <c r="E42" i="10"/>
  <c r="G7" i="14"/>
  <c r="F7" i="14"/>
  <c r="E7" i="14"/>
  <c r="G25" i="12"/>
  <c r="F25" i="12"/>
  <c r="E25" i="12"/>
  <c r="G25" i="7"/>
  <c r="F25" i="7"/>
  <c r="E25" i="7"/>
  <c r="G54" i="10"/>
  <c r="F54" i="10"/>
  <c r="E54" i="10"/>
  <c r="E52" i="10"/>
  <c r="G52" i="10"/>
  <c r="F52" i="10"/>
  <c r="G47" i="10"/>
  <c r="F47" i="10"/>
  <c r="E47" i="10"/>
  <c r="E46" i="10"/>
  <c r="F46" i="10"/>
  <c r="G46" i="10"/>
  <c r="G23" i="10"/>
  <c r="F23" i="10"/>
  <c r="E23" i="10"/>
  <c r="G7" i="10"/>
  <c r="F7" i="10"/>
  <c r="E7" i="10"/>
  <c r="G71" i="10"/>
  <c r="F71" i="10"/>
  <c r="E71" i="10"/>
  <c r="G67" i="10"/>
  <c r="F67" i="10"/>
  <c r="E67" i="10"/>
  <c r="G39" i="10"/>
  <c r="F39" i="10"/>
  <c r="E39" i="10"/>
  <c r="F24" i="7"/>
  <c r="G24" i="7"/>
  <c r="E24" i="7"/>
  <c r="F79" i="10"/>
  <c r="G79" i="10"/>
  <c r="E79" i="10"/>
  <c r="G103" i="12"/>
  <c r="F103" i="12"/>
  <c r="E103" i="12"/>
  <c r="G33" i="10"/>
  <c r="F33" i="10"/>
  <c r="E33" i="10"/>
  <c r="G29" i="7"/>
  <c r="F29" i="7"/>
  <c r="E29" i="7"/>
  <c r="G14" i="11"/>
  <c r="F14" i="11"/>
  <c r="E14" i="11"/>
  <c r="G82" i="12"/>
  <c r="F82" i="12"/>
  <c r="E82" i="12"/>
  <c r="G6" i="14"/>
  <c r="F6" i="14"/>
  <c r="E6" i="14"/>
  <c r="V2" i="14" s="1"/>
  <c r="AF2" i="14" s="1"/>
  <c r="E54" i="8"/>
  <c r="E53" i="8"/>
  <c r="E58" i="8"/>
  <c r="E57" i="8"/>
  <c r="E59" i="8"/>
  <c r="E11" i="13"/>
  <c r="G72" i="12"/>
  <c r="F72" i="12"/>
  <c r="G70" i="12"/>
  <c r="F70" i="12"/>
  <c r="G69" i="12"/>
  <c r="F69" i="12"/>
  <c r="G68" i="12"/>
  <c r="F68" i="12"/>
  <c r="G66" i="12"/>
  <c r="F66" i="12"/>
  <c r="G65" i="12"/>
  <c r="F65" i="12"/>
  <c r="G62" i="12"/>
  <c r="F62" i="12"/>
  <c r="G61" i="12"/>
  <c r="F61" i="12"/>
  <c r="G14" i="12"/>
  <c r="F14" i="12"/>
  <c r="G13" i="12"/>
  <c r="F13" i="12"/>
  <c r="G12" i="12"/>
  <c r="F12" i="12"/>
  <c r="G11" i="12"/>
  <c r="F11" i="12"/>
  <c r="G10" i="12"/>
  <c r="F10" i="12"/>
  <c r="G9" i="12"/>
  <c r="F9" i="12"/>
  <c r="G8" i="12"/>
  <c r="F8" i="12"/>
  <c r="G7" i="12"/>
  <c r="F7" i="12"/>
  <c r="G109" i="12"/>
  <c r="F109" i="12"/>
  <c r="G49" i="12"/>
  <c r="F49" i="12"/>
  <c r="G48" i="12"/>
  <c r="F48" i="12"/>
  <c r="G47" i="12"/>
  <c r="F47" i="12"/>
  <c r="G46" i="12"/>
  <c r="F46" i="12"/>
  <c r="G45" i="12"/>
  <c r="F45" i="12"/>
  <c r="G44" i="12"/>
  <c r="F44" i="12"/>
  <c r="G43" i="12"/>
  <c r="F43" i="12"/>
  <c r="G13" i="10"/>
  <c r="F13" i="10"/>
  <c r="G12" i="10"/>
  <c r="F12" i="10"/>
  <c r="G19" i="10"/>
  <c r="F19" i="10"/>
  <c r="G18" i="10"/>
  <c r="F18" i="10"/>
  <c r="G17" i="10"/>
  <c r="F17" i="10"/>
  <c r="G16" i="10"/>
  <c r="F16" i="10"/>
  <c r="G15" i="10"/>
  <c r="F15" i="10"/>
  <c r="G14" i="10"/>
  <c r="F14" i="10"/>
  <c r="G65" i="10"/>
  <c r="F65" i="10"/>
  <c r="G64" i="10"/>
  <c r="F64" i="10"/>
  <c r="G63" i="10"/>
  <c r="F63" i="10"/>
  <c r="G78" i="10"/>
  <c r="F78" i="10"/>
  <c r="G62" i="10"/>
  <c r="F62" i="10"/>
  <c r="G38" i="10"/>
  <c r="F38" i="10"/>
  <c r="G37" i="10"/>
  <c r="F37" i="10"/>
  <c r="G36" i="10"/>
  <c r="F36" i="10"/>
  <c r="G77" i="10"/>
  <c r="F77" i="10"/>
  <c r="G35" i="10"/>
  <c r="F35" i="10"/>
  <c r="E76" i="10"/>
  <c r="G46" i="7"/>
  <c r="F46" i="7"/>
  <c r="G33" i="7"/>
  <c r="F33" i="7"/>
  <c r="G32" i="7"/>
  <c r="F32" i="7"/>
  <c r="G31" i="7"/>
  <c r="F31" i="7"/>
  <c r="G30" i="7"/>
  <c r="F30" i="7"/>
  <c r="G108" i="12"/>
  <c r="F108" i="12"/>
  <c r="G107" i="12"/>
  <c r="F107" i="12"/>
  <c r="G55" i="12"/>
  <c r="F55" i="12"/>
  <c r="G53" i="12"/>
  <c r="F53" i="12"/>
  <c r="G52" i="12"/>
  <c r="F52" i="12"/>
  <c r="G51" i="12"/>
  <c r="F51" i="12"/>
  <c r="G37" i="12"/>
  <c r="F37" i="12"/>
  <c r="G36" i="12"/>
  <c r="F36" i="12"/>
  <c r="G35" i="12"/>
  <c r="F35" i="12"/>
  <c r="G34" i="12"/>
  <c r="F34" i="12"/>
  <c r="G28" i="8"/>
  <c r="F28" i="8"/>
  <c r="G27" i="8"/>
  <c r="F27" i="8"/>
  <c r="G26" i="8"/>
  <c r="F26" i="8"/>
  <c r="G25" i="8"/>
  <c r="F25" i="8"/>
  <c r="N60" i="8"/>
  <c r="Q60" i="8" s="1"/>
  <c r="N48" i="8"/>
  <c r="P48" i="8" s="1"/>
  <c r="N47" i="8"/>
  <c r="P47" i="8" s="1"/>
  <c r="N3" i="8"/>
  <c r="P3" i="8" s="1"/>
  <c r="N4" i="8"/>
  <c r="P4" i="8" s="1"/>
  <c r="E5" i="8"/>
  <c r="F5" i="8"/>
  <c r="G5" i="8"/>
  <c r="N5" i="8"/>
  <c r="N6" i="8"/>
  <c r="P6" i="8" s="1"/>
  <c r="E7" i="8"/>
  <c r="F7" i="8"/>
  <c r="G7" i="8"/>
  <c r="N7" i="8"/>
  <c r="N9" i="8"/>
  <c r="P9" i="8" s="1"/>
  <c r="E10" i="8"/>
  <c r="F10" i="8"/>
  <c r="G10" i="8"/>
  <c r="P11" i="8"/>
  <c r="Q11" i="8"/>
  <c r="R11" i="8"/>
  <c r="E18" i="8"/>
  <c r="E22" i="8"/>
  <c r="F22" i="8"/>
  <c r="G22" i="8"/>
  <c r="E31" i="8"/>
  <c r="F31" i="8"/>
  <c r="G31" i="8"/>
  <c r="E35" i="8"/>
  <c r="F35" i="8"/>
  <c r="G35" i="8"/>
  <c r="P36" i="8"/>
  <c r="Q36" i="8"/>
  <c r="R36" i="8"/>
  <c r="N37" i="8"/>
  <c r="P37" i="8" s="1"/>
  <c r="E38" i="8"/>
  <c r="F38" i="8"/>
  <c r="G38" i="8"/>
  <c r="N38" i="8"/>
  <c r="N39" i="8"/>
  <c r="R39" i="8" s="1"/>
  <c r="E40" i="8"/>
  <c r="F40" i="8"/>
  <c r="G40" i="8"/>
  <c r="N40" i="8"/>
  <c r="E41" i="8"/>
  <c r="F41" i="8"/>
  <c r="G41" i="8"/>
  <c r="E42" i="8"/>
  <c r="F42" i="8"/>
  <c r="G42" i="8"/>
  <c r="E43" i="8"/>
  <c r="F43" i="8"/>
  <c r="G43" i="8"/>
  <c r="H43" i="8"/>
  <c r="I43" i="8"/>
  <c r="N43" i="8"/>
  <c r="N44" i="8"/>
  <c r="P44" i="8" s="1"/>
  <c r="E46" i="8"/>
  <c r="F46" i="8"/>
  <c r="G46" i="8"/>
  <c r="N46" i="8"/>
  <c r="E50" i="8"/>
  <c r="F50" i="8"/>
  <c r="G50" i="8"/>
  <c r="E55" i="8"/>
  <c r="F55" i="8"/>
  <c r="G55" i="8"/>
  <c r="E61" i="8"/>
  <c r="F61" i="8"/>
  <c r="G61" i="8"/>
  <c r="E63" i="8"/>
  <c r="F63" i="8"/>
  <c r="G63" i="8"/>
  <c r="E64" i="8"/>
  <c r="F64" i="8"/>
  <c r="G64" i="8"/>
  <c r="E68" i="8"/>
  <c r="F68" i="8"/>
  <c r="G68" i="8"/>
  <c r="G5" i="11"/>
  <c r="F5" i="11"/>
  <c r="E5" i="11"/>
  <c r="F96" i="12"/>
  <c r="G96" i="12"/>
  <c r="E96" i="12"/>
  <c r="G80" i="12"/>
  <c r="F80" i="12"/>
  <c r="E80" i="12"/>
  <c r="G18" i="14"/>
  <c r="F18" i="14"/>
  <c r="E18" i="14"/>
  <c r="G15" i="14"/>
  <c r="F15" i="14"/>
  <c r="E15" i="14"/>
  <c r="G6" i="12"/>
  <c r="F6" i="12"/>
  <c r="E6" i="12"/>
  <c r="G3" i="12"/>
  <c r="F3" i="12"/>
  <c r="E3" i="12"/>
  <c r="G78" i="12"/>
  <c r="F78" i="12"/>
  <c r="E78" i="12"/>
  <c r="F38" i="12"/>
  <c r="G38" i="12"/>
  <c r="E38" i="12"/>
  <c r="G27" i="7"/>
  <c r="F27" i="7"/>
  <c r="E27" i="7"/>
  <c r="G69" i="10"/>
  <c r="F69" i="10"/>
  <c r="E69" i="10"/>
  <c r="F41" i="10"/>
  <c r="G41" i="10"/>
  <c r="E41" i="10"/>
  <c r="G25" i="10"/>
  <c r="F25" i="10"/>
  <c r="E25" i="10"/>
  <c r="F4" i="11"/>
  <c r="G4" i="11"/>
  <c r="E4" i="11"/>
  <c r="G26" i="7"/>
  <c r="F26" i="7"/>
  <c r="E26" i="7"/>
  <c r="F59" i="10"/>
  <c r="G59" i="10"/>
  <c r="E59" i="10"/>
  <c r="G10" i="14"/>
  <c r="F10" i="14"/>
  <c r="E10" i="14"/>
  <c r="U4" i="14" s="1"/>
  <c r="G60" i="10"/>
  <c r="F60" i="10"/>
  <c r="E60" i="10"/>
  <c r="E30" i="10"/>
  <c r="E8" i="7"/>
  <c r="G56" i="10"/>
  <c r="F56" i="10"/>
  <c r="E56" i="10"/>
  <c r="F5" i="10"/>
  <c r="G5" i="10"/>
  <c r="E5" i="10"/>
  <c r="G28" i="10"/>
  <c r="F28" i="10"/>
  <c r="E28" i="10"/>
  <c r="G35" i="7"/>
  <c r="F35" i="7"/>
  <c r="E35" i="7"/>
  <c r="G18" i="7"/>
  <c r="F18" i="7"/>
  <c r="E18" i="7"/>
  <c r="G22" i="7"/>
  <c r="F22" i="7"/>
  <c r="G3" i="10"/>
  <c r="F3" i="10"/>
  <c r="G4" i="10"/>
  <c r="F4" i="10"/>
  <c r="E4" i="10"/>
  <c r="E3" i="10"/>
  <c r="T7" i="14" l="1"/>
  <c r="AZ2" i="14"/>
  <c r="AE7" i="14"/>
  <c r="AD7" i="14" s="1"/>
  <c r="AE5" i="14"/>
  <c r="AD5" i="14" s="1"/>
  <c r="AN8" i="14"/>
  <c r="AF3" i="14"/>
  <c r="AD3" i="14"/>
  <c r="T6" i="14"/>
  <c r="AE9" i="14"/>
  <c r="AD9" i="14" s="1"/>
  <c r="AF6" i="14"/>
  <c r="AD6" i="14" s="1"/>
  <c r="AZ6" i="14"/>
  <c r="AZ3" i="14"/>
  <c r="AG64" i="8"/>
  <c r="AM64" i="8" s="1"/>
  <c r="AG53" i="8"/>
  <c r="AM53" i="8" s="1"/>
  <c r="AG46" i="8"/>
  <c r="AM46" i="8" s="1"/>
  <c r="AG42" i="8"/>
  <c r="AM42" i="8" s="1"/>
  <c r="AG35" i="8"/>
  <c r="AG30" i="8"/>
  <c r="AM30" i="8" s="1"/>
  <c r="AG29" i="8"/>
  <c r="AM29" i="8" s="1"/>
  <c r="AG26" i="8"/>
  <c r="AM26" i="8" s="1"/>
  <c r="AG14" i="8"/>
  <c r="AM14" i="8" s="1"/>
  <c r="AG13" i="8"/>
  <c r="AM13" i="8" s="1"/>
  <c r="AG9" i="8"/>
  <c r="AM9" i="8" s="1"/>
  <c r="Z2" i="8"/>
  <c r="AG2" i="8"/>
  <c r="AM2" i="8" s="1"/>
  <c r="AG57" i="8"/>
  <c r="AG38" i="8"/>
  <c r="AG22" i="8"/>
  <c r="AG6" i="8"/>
  <c r="AM6" i="8" s="1"/>
  <c r="AG60" i="8"/>
  <c r="AM60" i="8" s="1"/>
  <c r="AG45" i="8"/>
  <c r="AM45" i="8" s="1"/>
  <c r="AG34" i="8"/>
  <c r="AM34" i="8" s="1"/>
  <c r="AG21" i="8"/>
  <c r="AM21" i="8" s="1"/>
  <c r="AG18" i="8"/>
  <c r="AM18" i="8" s="1"/>
  <c r="AG67" i="8"/>
  <c r="AG63" i="8"/>
  <c r="AM63" i="8" s="1"/>
  <c r="AG49" i="8"/>
  <c r="AG37" i="8"/>
  <c r="AM37" i="8" s="1"/>
  <c r="AG5" i="8"/>
  <c r="AM5" i="8" s="1"/>
  <c r="AG41" i="8"/>
  <c r="AG25" i="8"/>
  <c r="AG56" i="8"/>
  <c r="AM56" i="8" s="1"/>
  <c r="AG52" i="8"/>
  <c r="AM52" i="8" s="1"/>
  <c r="AG33" i="8"/>
  <c r="AM33" i="8" s="1"/>
  <c r="AG17" i="8"/>
  <c r="AG8" i="8"/>
  <c r="AM8" i="8" s="1"/>
  <c r="AG66" i="8"/>
  <c r="AM66" i="8" s="1"/>
  <c r="AG4" i="8"/>
  <c r="AM4" i="8" s="1"/>
  <c r="AG55" i="8"/>
  <c r="AM55" i="8" s="1"/>
  <c r="AG28" i="8"/>
  <c r="AM28" i="8" s="1"/>
  <c r="AG12" i="8"/>
  <c r="AM12" i="8" s="1"/>
  <c r="AG62" i="8"/>
  <c r="AG59" i="8"/>
  <c r="AG48" i="8"/>
  <c r="AM48" i="8" s="1"/>
  <c r="AG44" i="8"/>
  <c r="AM44" i="8" s="1"/>
  <c r="AG20" i="8"/>
  <c r="AM20" i="8" s="1"/>
  <c r="AG40" i="8"/>
  <c r="AM40" i="8" s="1"/>
  <c r="AG36" i="8"/>
  <c r="AM36" i="8" s="1"/>
  <c r="AG32" i="8"/>
  <c r="AM32" i="8" s="1"/>
  <c r="AG24" i="8"/>
  <c r="AM24" i="8" s="1"/>
  <c r="AF2" i="8"/>
  <c r="AG3" i="8"/>
  <c r="AM3" i="8" s="1"/>
  <c r="AG47" i="8"/>
  <c r="AG16" i="8"/>
  <c r="AM16" i="8" s="1"/>
  <c r="AG58" i="8"/>
  <c r="AM58" i="8" s="1"/>
  <c r="AG51" i="8"/>
  <c r="AG39" i="8"/>
  <c r="AM39" i="8" s="1"/>
  <c r="AM35" i="8"/>
  <c r="AG31" i="8"/>
  <c r="AM31" i="8" s="1"/>
  <c r="AG23" i="8"/>
  <c r="AM23" i="8" s="1"/>
  <c r="AG7" i="8"/>
  <c r="AM7" i="8" s="1"/>
  <c r="AG65" i="8"/>
  <c r="AM65" i="8" s="1"/>
  <c r="AG61" i="8"/>
  <c r="AM61" i="8" s="1"/>
  <c r="AG54" i="8"/>
  <c r="AM54" i="8" s="1"/>
  <c r="AG15" i="8"/>
  <c r="AM15" i="8" s="1"/>
  <c r="AG11" i="8"/>
  <c r="AG27" i="8"/>
  <c r="AG50" i="8"/>
  <c r="AM50" i="8" s="1"/>
  <c r="AG43" i="8"/>
  <c r="AG19" i="8"/>
  <c r="AG10" i="8"/>
  <c r="AM10" i="8" s="1"/>
  <c r="Y2" i="8"/>
  <c r="BA59" i="8" a="1"/>
  <c r="BA59" i="8" s="1"/>
  <c r="BD41" i="8" a="1"/>
  <c r="BD41" i="8" s="1"/>
  <c r="AP42" i="8" s="1"/>
  <c r="BD40" i="8" a="1"/>
  <c r="BD40" i="8" s="1"/>
  <c r="AP41" i="8" s="1"/>
  <c r="BD27" i="8" a="1"/>
  <c r="BD27" i="8" s="1"/>
  <c r="AP28" i="8" s="1"/>
  <c r="BD15" i="8" a="1"/>
  <c r="BD15" i="8" s="1"/>
  <c r="AP16" i="8" s="1"/>
  <c r="BD14" i="8" a="1"/>
  <c r="BD14" i="8" s="1"/>
  <c r="AP15" i="8" s="1"/>
  <c r="BA60" i="8" a="1"/>
  <c r="BA60" i="8" s="1"/>
  <c r="P60" i="8"/>
  <c r="BA14" i="8" a="1"/>
  <c r="BA14" i="8" s="1"/>
  <c r="BA62" i="8" a="1"/>
  <c r="BA62" i="8" s="1"/>
  <c r="BD29" i="8" a="1"/>
  <c r="BD29" i="8" s="1"/>
  <c r="AP30" i="8" s="1"/>
  <c r="BD17" i="8" a="1"/>
  <c r="BD17" i="8" s="1"/>
  <c r="AP18" i="8" s="1"/>
  <c r="BA61" i="8" a="1"/>
  <c r="BA61" i="8" s="1"/>
  <c r="BD42" i="8" a="1"/>
  <c r="BD42" i="8" s="1"/>
  <c r="AP43" i="8" s="1"/>
  <c r="BD28" i="8" a="1"/>
  <c r="BD28" i="8" s="1"/>
  <c r="AP29" i="8" s="1"/>
  <c r="BD16" i="8" a="1"/>
  <c r="BD16" i="8" s="1"/>
  <c r="AP17" i="8" s="1"/>
  <c r="BA58" i="8" a="1"/>
  <c r="BA58" i="8" s="1"/>
  <c r="BD39" i="8" a="1"/>
  <c r="BD39" i="8" s="1"/>
  <c r="AP40" i="8" s="1"/>
  <c r="BD13" i="8" a="1"/>
  <c r="BD13" i="8" s="1"/>
  <c r="AP14" i="8" s="1"/>
  <c r="BD38" i="8" a="1"/>
  <c r="BD38" i="8" s="1"/>
  <c r="AP39" i="8" s="1"/>
  <c r="BD26" i="8" a="1"/>
  <c r="BD26" i="8" s="1"/>
  <c r="AP27" i="8" s="1"/>
  <c r="BD12" i="8" a="1"/>
  <c r="BD12" i="8" s="1"/>
  <c r="AP13" i="8" s="1"/>
  <c r="BA57" i="8" a="1"/>
  <c r="BA57" i="8" s="1"/>
  <c r="BD37" i="8" a="1"/>
  <c r="BD37" i="8" s="1"/>
  <c r="AP38" i="8" s="1"/>
  <c r="BD25" i="8" a="1"/>
  <c r="BD25" i="8" s="1"/>
  <c r="AP26" i="8" s="1"/>
  <c r="BA56" i="8" a="1"/>
  <c r="BA56" i="8" s="1"/>
  <c r="BD36" i="8" a="1"/>
  <c r="BD36" i="8" s="1"/>
  <c r="AP37" i="8" s="1"/>
  <c r="BD24" i="8" a="1"/>
  <c r="BD24" i="8" s="1"/>
  <c r="AP25" i="8" s="1"/>
  <c r="BD11" i="8" a="1"/>
  <c r="BD11" i="8" s="1"/>
  <c r="AP12" i="8" s="1"/>
  <c r="BA55" i="8" a="1"/>
  <c r="BA55" i="8" s="1"/>
  <c r="BD23" i="8" a="1"/>
  <c r="BD23" i="8" s="1"/>
  <c r="AP24" i="8" s="1"/>
  <c r="BA54" i="8" a="1"/>
  <c r="BA54" i="8" s="1"/>
  <c r="BD35" i="8" a="1"/>
  <c r="BD35" i="8" s="1"/>
  <c r="AP36" i="8" s="1"/>
  <c r="BD22" i="8" a="1"/>
  <c r="BD22" i="8" s="1"/>
  <c r="AP23" i="8" s="1"/>
  <c r="BD10" i="8" a="1"/>
  <c r="BD10" i="8" s="1"/>
  <c r="AP11" i="8" s="1"/>
  <c r="BA53" i="8" a="1"/>
  <c r="BA53" i="8" s="1"/>
  <c r="BD1" i="8" a="1"/>
  <c r="BD1" i="8" s="1"/>
  <c r="AP2" i="8" s="1"/>
  <c r="BD21" i="8" a="1"/>
  <c r="BD21" i="8" s="1"/>
  <c r="AP22" i="8" s="1"/>
  <c r="BD9" i="8" a="1"/>
  <c r="BD9" i="8" s="1"/>
  <c r="AP10" i="8" s="1"/>
  <c r="BA52" i="8" a="1"/>
  <c r="BA52" i="8" s="1"/>
  <c r="BD3" i="8" a="1"/>
  <c r="BD3" i="8" s="1"/>
  <c r="AP4" i="8" s="1"/>
  <c r="BD34" i="8" a="1"/>
  <c r="BD34" i="8" s="1"/>
  <c r="AP35" i="8" s="1"/>
  <c r="BD20" i="8" a="1"/>
  <c r="BD20" i="8" s="1"/>
  <c r="AP21" i="8" s="1"/>
  <c r="BD8" i="8" a="1"/>
  <c r="BD8" i="8" s="1"/>
  <c r="AP9" i="8" s="1"/>
  <c r="P38" i="8"/>
  <c r="BA66" i="8" a="1"/>
  <c r="BA66" i="8" s="1"/>
  <c r="BD2" i="8" a="1"/>
  <c r="BD2" i="8" s="1"/>
  <c r="AP3" i="8" s="1"/>
  <c r="BD33" i="8" a="1"/>
  <c r="BD33" i="8" s="1"/>
  <c r="AP34" i="8" s="1"/>
  <c r="BD7" i="8" a="1"/>
  <c r="BD7" i="8" s="1"/>
  <c r="AP8" i="8" s="1"/>
  <c r="BA65" i="8" a="1"/>
  <c r="BA65" i="8" s="1"/>
  <c r="BD44" i="8" a="1"/>
  <c r="BD44" i="8" s="1"/>
  <c r="AP45" i="8" s="1"/>
  <c r="BD32" i="8" a="1"/>
  <c r="BD32" i="8" s="1"/>
  <c r="AP33" i="8" s="1"/>
  <c r="BD19" i="8" a="1"/>
  <c r="BD19" i="8" s="1"/>
  <c r="AP20" i="8" s="1"/>
  <c r="BD6" i="8" a="1"/>
  <c r="BD6" i="8" s="1"/>
  <c r="AP7" i="8" s="1"/>
  <c r="R60" i="8"/>
  <c r="BA64" i="8" a="1"/>
  <c r="BA64" i="8" s="1"/>
  <c r="BD31" i="8" a="1"/>
  <c r="BD31" i="8" s="1"/>
  <c r="AP32" i="8" s="1"/>
  <c r="BD5" i="8" a="1"/>
  <c r="BD5" i="8" s="1"/>
  <c r="AP6" i="8" s="1"/>
  <c r="BA63" i="8" a="1"/>
  <c r="BA63" i="8" s="1"/>
  <c r="BD43" i="8" a="1"/>
  <c r="BD43" i="8" s="1"/>
  <c r="AP44" i="8" s="1"/>
  <c r="BD30" i="8" a="1"/>
  <c r="BD30" i="8" s="1"/>
  <c r="AP31" i="8" s="1"/>
  <c r="BD18" i="8" a="1"/>
  <c r="BD18" i="8" s="1"/>
  <c r="AP19" i="8" s="1"/>
  <c r="BD4" i="8" a="1"/>
  <c r="BD4" i="8" s="1"/>
  <c r="AP5" i="8" s="1"/>
  <c r="BA24" i="8" a="1"/>
  <c r="BA24" i="8" s="1"/>
  <c r="BA36" i="8" a="1"/>
  <c r="BA36" i="8" s="1"/>
  <c r="BA23" i="8" a="1"/>
  <c r="BA23" i="8" s="1"/>
  <c r="BA35" i="8" a="1"/>
  <c r="BA35" i="8" s="1"/>
  <c r="BA5" i="8" a="1"/>
  <c r="BA5" i="8" s="1"/>
  <c r="BA34" i="8" a="1"/>
  <c r="BA34" i="8" s="1"/>
  <c r="BA50" i="8" a="1"/>
  <c r="BA50" i="8" s="1"/>
  <c r="BA51" i="8" a="1"/>
  <c r="BA51" i="8" s="1"/>
  <c r="BA4" i="8" a="1"/>
  <c r="BA4" i="8" s="1"/>
  <c r="BA12" i="8" a="1"/>
  <c r="BA12" i="8" s="1"/>
  <c r="BA33" i="8" a="1"/>
  <c r="BA33" i="8" s="1"/>
  <c r="BA49" i="8" a="1"/>
  <c r="BA49" i="8" s="1"/>
  <c r="BA13" i="8" a="1"/>
  <c r="BA13" i="8" s="1"/>
  <c r="BA3" i="8" a="1"/>
  <c r="BA3" i="8" s="1"/>
  <c r="BA32" i="8" a="1"/>
  <c r="BA32" i="8" s="1"/>
  <c r="BA48" i="8" a="1"/>
  <c r="BA48" i="8" s="1"/>
  <c r="R48" i="8"/>
  <c r="BA2" i="8" a="1"/>
  <c r="BA2" i="8" s="1"/>
  <c r="BA11" i="8" a="1"/>
  <c r="BA11" i="8" s="1"/>
  <c r="BA31" i="8" a="1"/>
  <c r="BA31" i="8" s="1"/>
  <c r="BA47" i="8" a="1"/>
  <c r="BA47" i="8" s="1"/>
  <c r="BA22" i="8" a="1"/>
  <c r="BA22" i="8" s="1"/>
  <c r="BA10" i="8" a="1"/>
  <c r="BA10" i="8" s="1"/>
  <c r="BA46" i="8" a="1"/>
  <c r="BA46" i="8" s="1"/>
  <c r="BA9" i="8" a="1"/>
  <c r="BA9" i="8" s="1"/>
  <c r="BA30" i="8" a="1"/>
  <c r="BA30" i="8" s="1"/>
  <c r="BA21" i="8" a="1"/>
  <c r="BA21" i="8" s="1"/>
  <c r="BA45" i="8" a="1"/>
  <c r="BA45" i="8" s="1"/>
  <c r="BA20" i="8" a="1"/>
  <c r="BA20" i="8" s="1"/>
  <c r="BA8" i="8" a="1"/>
  <c r="BA8" i="8" s="1"/>
  <c r="BA29" i="8" a="1"/>
  <c r="BA29" i="8" s="1"/>
  <c r="BA44" i="8" a="1"/>
  <c r="BA44" i="8" s="1"/>
  <c r="BA19" i="8" a="1"/>
  <c r="BA19" i="8" s="1"/>
  <c r="BA7" i="8" a="1"/>
  <c r="BA7" i="8" s="1"/>
  <c r="BA43" i="8" a="1"/>
  <c r="BA43" i="8" s="1"/>
  <c r="BA18" i="8" a="1"/>
  <c r="BA18" i="8" s="1"/>
  <c r="BA6" i="8" a="1"/>
  <c r="BA6" i="8" s="1"/>
  <c r="BA28" i="8" a="1"/>
  <c r="BA28" i="8" s="1"/>
  <c r="BA42" i="8" a="1"/>
  <c r="BA42" i="8" s="1"/>
  <c r="BA17" i="8" a="1"/>
  <c r="BA17" i="8" s="1"/>
  <c r="BA38" i="8" a="1"/>
  <c r="BA38" i="8" s="1"/>
  <c r="BA27" i="8" a="1"/>
  <c r="BA27" i="8" s="1"/>
  <c r="BA41" i="8" a="1"/>
  <c r="BA41" i="8" s="1"/>
  <c r="BA16" i="8" a="1"/>
  <c r="BA16" i="8" s="1"/>
  <c r="BA26" i="8" a="1"/>
  <c r="BA26" i="8" s="1"/>
  <c r="BA40" i="8" a="1"/>
  <c r="BA40" i="8" s="1"/>
  <c r="BA15" i="8" a="1"/>
  <c r="BA15" i="8" s="1"/>
  <c r="BA37" i="8" a="1"/>
  <c r="BA37" i="8" s="1"/>
  <c r="BA25" i="8" a="1"/>
  <c r="BA25" i="8" s="1"/>
  <c r="BA39" i="8" a="1"/>
  <c r="BA39" i="8" s="1"/>
  <c r="AX3" i="13"/>
  <c r="AL2" i="13"/>
  <c r="AL3" i="13"/>
  <c r="AE2" i="13"/>
  <c r="AH3" i="13" a="1"/>
  <c r="AH3" i="13" s="1"/>
  <c r="AH2" i="13" a="1"/>
  <c r="AH2" i="13" s="1"/>
  <c r="AD2" i="13"/>
  <c r="AG2" i="13" a="1"/>
  <c r="AG2" i="13" s="1"/>
  <c r="T2" i="13"/>
  <c r="AY3" i="14"/>
  <c r="AY7" i="14"/>
  <c r="AX7" i="14" s="1"/>
  <c r="AZ4" i="14"/>
  <c r="AZ8" i="14"/>
  <c r="AY4" i="14"/>
  <c r="AX4" i="14" s="1"/>
  <c r="AY2" i="14"/>
  <c r="AX2" i="14" s="1"/>
  <c r="BA7" i="14" a="1"/>
  <c r="BA7" i="14" s="1"/>
  <c r="BB9" i="14" a="1"/>
  <c r="BB9" i="14" s="1"/>
  <c r="BB5" i="14" a="1"/>
  <c r="BB5" i="14" s="1"/>
  <c r="BB4" i="14" a="1"/>
  <c r="BB4" i="14" s="1"/>
  <c r="AZ9" i="14"/>
  <c r="AY5" i="14"/>
  <c r="AZ5" i="14"/>
  <c r="AX3" i="14"/>
  <c r="BA4" i="14" a="1"/>
  <c r="BA4" i="14" s="1"/>
  <c r="AY9" i="14"/>
  <c r="AY8" i="14"/>
  <c r="AX8" i="14" s="1"/>
  <c r="BA9" i="14" a="1"/>
  <c r="BA9" i="14" s="1"/>
  <c r="AY6" i="14"/>
  <c r="BA6" i="14" a="1"/>
  <c r="BA6" i="14" s="1"/>
  <c r="T3" i="14"/>
  <c r="U2" i="14"/>
  <c r="T2" i="14" s="1"/>
  <c r="T8" i="14"/>
  <c r="V4" i="14"/>
  <c r="P39" i="8"/>
  <c r="Q48" i="8"/>
  <c r="Q46" i="8"/>
  <c r="R40" i="8"/>
  <c r="Q40" i="8"/>
  <c r="P40" i="8"/>
  <c r="Q5" i="8"/>
  <c r="R47" i="8"/>
  <c r="Q47" i="8"/>
  <c r="R7" i="8"/>
  <c r="Q39" i="8"/>
  <c r="P7" i="8"/>
  <c r="Q6" i="8"/>
  <c r="R43" i="8"/>
  <c r="R38" i="8"/>
  <c r="P5" i="8"/>
  <c r="Q37" i="8"/>
  <c r="R46" i="8"/>
  <c r="Q7" i="8"/>
  <c r="Q43" i="8"/>
  <c r="P43" i="8"/>
  <c r="Q38" i="8"/>
  <c r="R5" i="8"/>
  <c r="R9" i="8"/>
  <c r="Q9" i="8"/>
  <c r="P46" i="8"/>
  <c r="R44" i="8"/>
  <c r="Q44" i="8"/>
  <c r="R4" i="8"/>
  <c r="Q4" i="8"/>
  <c r="R37" i="8"/>
  <c r="R3" i="8"/>
  <c r="R6" i="8"/>
  <c r="Q3" i="8"/>
  <c r="AX6" i="14" l="1"/>
  <c r="T4" i="14"/>
  <c r="AE2" i="14"/>
  <c r="AD2" i="14" s="1"/>
  <c r="X2" i="8"/>
  <c r="AI2" i="8"/>
  <c r="V64" i="8"/>
  <c r="Y64" i="8" s="1"/>
  <c r="AF64" i="8"/>
  <c r="V39" i="8"/>
  <c r="AA39" i="8" s="1" a="1"/>
  <c r="AA39" i="8" s="1"/>
  <c r="AF39" i="8"/>
  <c r="V38" i="8"/>
  <c r="AA38" i="8" s="1" a="1"/>
  <c r="AA38" i="8" s="1"/>
  <c r="AF38" i="8"/>
  <c r="V45" i="8"/>
  <c r="Y45" i="8" s="1"/>
  <c r="AF45" i="8"/>
  <c r="V49" i="8"/>
  <c r="Z49" i="8" s="1"/>
  <c r="AF49" i="8"/>
  <c r="AK49" i="8" s="1" a="1"/>
  <c r="AK49" i="8" s="1"/>
  <c r="AM27" i="8"/>
  <c r="V28" i="8"/>
  <c r="AB28" i="8" s="1" a="1"/>
  <c r="AB28" i="8" s="1"/>
  <c r="AF28" i="8"/>
  <c r="V15" i="8"/>
  <c r="Y15" i="8" s="1"/>
  <c r="AF15" i="8"/>
  <c r="V10" i="8"/>
  <c r="AB10" i="8" s="1" a="1"/>
  <c r="AB10" i="8" s="1"/>
  <c r="AF10" i="8"/>
  <c r="AK10" i="8" s="1" a="1"/>
  <c r="AK10" i="8" s="1"/>
  <c r="V6" i="8"/>
  <c r="Y6" i="8" s="1"/>
  <c r="AF6" i="8"/>
  <c r="V16" i="8"/>
  <c r="Y16" i="8" s="1"/>
  <c r="AF16" i="8"/>
  <c r="V30" i="8"/>
  <c r="Y30" i="8" s="1"/>
  <c r="AF30" i="8"/>
  <c r="V33" i="8"/>
  <c r="AA33" i="8" s="1" a="1"/>
  <c r="AA33" i="8" s="1"/>
  <c r="AF33" i="8"/>
  <c r="V67" i="8"/>
  <c r="AB67" i="8" s="1" a="1"/>
  <c r="AB67" i="8" s="1"/>
  <c r="AF67" i="8"/>
  <c r="AJ67" i="8" s="1"/>
  <c r="V56" i="8"/>
  <c r="Y56" i="8" s="1"/>
  <c r="AF56" i="8"/>
  <c r="AM49" i="8"/>
  <c r="V41" i="8"/>
  <c r="Y41" i="8" s="1"/>
  <c r="AF41" i="8"/>
  <c r="AI41" i="8" s="1"/>
  <c r="V9" i="8"/>
  <c r="AA9" i="8" s="1" a="1"/>
  <c r="AA9" i="8" s="1"/>
  <c r="AF9" i="8"/>
  <c r="V4" i="8"/>
  <c r="Y4" i="8" s="1"/>
  <c r="AF4" i="8"/>
  <c r="V62" i="8"/>
  <c r="AA62" i="8" s="1" a="1"/>
  <c r="AA62" i="8" s="1"/>
  <c r="AF62" i="8"/>
  <c r="AM11" i="8"/>
  <c r="V46" i="8"/>
  <c r="Z46" i="8" s="1"/>
  <c r="AF46" i="8"/>
  <c r="AJ2" i="8"/>
  <c r="AL2" i="8" a="1"/>
  <c r="AL2" i="8" s="1"/>
  <c r="AK2" i="8" a="1"/>
  <c r="AK2" i="8" s="1"/>
  <c r="V27" i="8"/>
  <c r="Y27" i="8" s="1"/>
  <c r="AF27" i="8"/>
  <c r="AJ27" i="8" s="1"/>
  <c r="V21" i="8"/>
  <c r="AB21" i="8" s="1" a="1"/>
  <c r="AB21" i="8" s="1"/>
  <c r="AF21" i="8"/>
  <c r="AK21" i="8" s="1" a="1"/>
  <c r="AK21" i="8" s="1"/>
  <c r="V14" i="8"/>
  <c r="Y14" i="8" s="1"/>
  <c r="AF14" i="8"/>
  <c r="AM67" i="8"/>
  <c r="V57" i="8"/>
  <c r="Z57" i="8" s="1"/>
  <c r="AF57" i="8"/>
  <c r="AK57" i="8" s="1" a="1"/>
  <c r="AK57" i="8" s="1"/>
  <c r="V63" i="8"/>
  <c r="AB63" i="8" s="1" a="1"/>
  <c r="AB63" i="8" s="1"/>
  <c r="AF63" i="8"/>
  <c r="AK63" i="8" s="1" a="1"/>
  <c r="AK63" i="8" s="1"/>
  <c r="V5" i="8"/>
  <c r="Y5" i="8" s="1"/>
  <c r="AF5" i="8"/>
  <c r="AM17" i="8"/>
  <c r="V18" i="8"/>
  <c r="Y18" i="8" s="1"/>
  <c r="AF18" i="8"/>
  <c r="V47" i="8"/>
  <c r="Y47" i="8" s="1"/>
  <c r="AF47" i="8"/>
  <c r="AI47" i="8" s="1"/>
  <c r="V52" i="8"/>
  <c r="AB52" i="8" s="1" a="1"/>
  <c r="AB52" i="8" s="1"/>
  <c r="AF52" i="8"/>
  <c r="V58" i="8"/>
  <c r="AB58" i="8" s="1" a="1"/>
  <c r="AB58" i="8" s="1"/>
  <c r="AF58" i="8"/>
  <c r="AK58" i="8" s="1" a="1"/>
  <c r="AK58" i="8" s="1"/>
  <c r="V61" i="8"/>
  <c r="AB61" i="8" s="1" a="1"/>
  <c r="AB61" i="8" s="1"/>
  <c r="AF61" i="8"/>
  <c r="V50" i="8"/>
  <c r="Y50" i="8" s="1"/>
  <c r="AF50" i="8"/>
  <c r="AK50" i="8" s="1" a="1"/>
  <c r="AK50" i="8" s="1"/>
  <c r="V22" i="8"/>
  <c r="Y22" i="8" s="1"/>
  <c r="AF22" i="8"/>
  <c r="V53" i="8"/>
  <c r="Y53" i="8" s="1"/>
  <c r="AF53" i="8"/>
  <c r="V43" i="8"/>
  <c r="Y43" i="8" s="1"/>
  <c r="AF43" i="8"/>
  <c r="AJ43" i="8" s="1"/>
  <c r="V11" i="8"/>
  <c r="Y11" i="8" s="1"/>
  <c r="AF11" i="8"/>
  <c r="AI11" i="8" s="1"/>
  <c r="V51" i="8"/>
  <c r="Z51" i="8" s="1"/>
  <c r="AF51" i="8"/>
  <c r="AJ51" i="8" s="1"/>
  <c r="V29" i="8"/>
  <c r="AA29" i="8" s="1" a="1"/>
  <c r="AA29" i="8" s="1"/>
  <c r="AF29" i="8"/>
  <c r="V23" i="8"/>
  <c r="AB23" i="8" s="1" a="1"/>
  <c r="AB23" i="8" s="1"/>
  <c r="AF23" i="8"/>
  <c r="V35" i="8"/>
  <c r="Y35" i="8" s="1"/>
  <c r="AF35" i="8"/>
  <c r="V54" i="8"/>
  <c r="Z54" i="8" s="1"/>
  <c r="AF54" i="8"/>
  <c r="AM47" i="8"/>
  <c r="AM22" i="8"/>
  <c r="V13" i="8"/>
  <c r="Z13" i="8" s="1"/>
  <c r="AF13" i="8"/>
  <c r="V19" i="8"/>
  <c r="Y19" i="8" s="1"/>
  <c r="AF19" i="8"/>
  <c r="AJ19" i="8" s="1"/>
  <c r="V32" i="8"/>
  <c r="AA32" i="8" s="1" a="1"/>
  <c r="AA32" i="8" s="1"/>
  <c r="AF32" i="8"/>
  <c r="V36" i="8"/>
  <c r="AA36" i="8" s="1" a="1"/>
  <c r="AA36" i="8" s="1"/>
  <c r="AF36" i="8"/>
  <c r="AL10" i="8" a="1"/>
  <c r="AL10" i="8" s="1"/>
  <c r="AM25" i="8"/>
  <c r="AI38" i="8"/>
  <c r="AM38" i="8"/>
  <c r="V42" i="8"/>
  <c r="Y42" i="8" s="1"/>
  <c r="AF42" i="8"/>
  <c r="V65" i="8"/>
  <c r="AA65" i="8" s="1" a="1"/>
  <c r="AA65" i="8" s="1"/>
  <c r="AF65" i="8"/>
  <c r="V48" i="8"/>
  <c r="Y48" i="8" s="1"/>
  <c r="AF48" i="8"/>
  <c r="V44" i="8"/>
  <c r="AA44" i="8" s="1" a="1"/>
  <c r="AA44" i="8" s="1"/>
  <c r="AF44" i="8"/>
  <c r="V12" i="8"/>
  <c r="Y12" i="8" s="1"/>
  <c r="AF12" i="8"/>
  <c r="V24" i="8"/>
  <c r="Y24" i="8" s="1"/>
  <c r="AF24" i="8"/>
  <c r="V66" i="8"/>
  <c r="Y66" i="8" s="1"/>
  <c r="AF66" i="8"/>
  <c r="AK66" i="8" s="1" a="1"/>
  <c r="AK66" i="8" s="1"/>
  <c r="AM19" i="8"/>
  <c r="AI39" i="8"/>
  <c r="AM41" i="8"/>
  <c r="AM57" i="8"/>
  <c r="V17" i="8"/>
  <c r="Y17" i="8" s="1"/>
  <c r="AF17" i="8"/>
  <c r="V31" i="8"/>
  <c r="Y31" i="8" s="1"/>
  <c r="AF31" i="8"/>
  <c r="AL61" i="8" a="1"/>
  <c r="AL61" i="8" s="1"/>
  <c r="V7" i="8"/>
  <c r="Z7" i="8" s="1"/>
  <c r="AF7" i="8"/>
  <c r="V40" i="8"/>
  <c r="Z40" i="8" s="1"/>
  <c r="AF40" i="8"/>
  <c r="V8" i="8"/>
  <c r="AA8" i="8" s="1" a="1"/>
  <c r="AA8" i="8" s="1"/>
  <c r="AF8" i="8"/>
  <c r="V3" i="8"/>
  <c r="AB3" i="8" s="1" a="1"/>
  <c r="AB3" i="8" s="1"/>
  <c r="AF3" i="8"/>
  <c r="V37" i="8"/>
  <c r="AB37" i="8" s="1" a="1"/>
  <c r="AB37" i="8" s="1"/>
  <c r="AF37" i="8"/>
  <c r="V59" i="8"/>
  <c r="Z59" i="8" s="1"/>
  <c r="AF59" i="8"/>
  <c r="V60" i="8"/>
  <c r="AA60" i="8" s="1" a="1"/>
  <c r="AA60" i="8" s="1"/>
  <c r="AF60" i="8"/>
  <c r="AM43" i="8"/>
  <c r="AM51" i="8"/>
  <c r="AM59" i="8"/>
  <c r="V34" i="8"/>
  <c r="AA34" i="8" s="1" a="1"/>
  <c r="AA34" i="8" s="1"/>
  <c r="AF34" i="8"/>
  <c r="AL34" i="8" s="1" a="1"/>
  <c r="AL34" i="8" s="1"/>
  <c r="V26" i="8"/>
  <c r="AB26" i="8" s="1" a="1"/>
  <c r="AB26" i="8" s="1"/>
  <c r="AF26" i="8"/>
  <c r="V20" i="8"/>
  <c r="Z20" i="8" s="1"/>
  <c r="AF20" i="8"/>
  <c r="V25" i="8"/>
  <c r="Y25" i="8" s="1"/>
  <c r="AF25" i="8"/>
  <c r="V55" i="8"/>
  <c r="AA55" i="8" s="1" a="1"/>
  <c r="AA55" i="8" s="1"/>
  <c r="AF55" i="8"/>
  <c r="AI62" i="8"/>
  <c r="AM62" i="8"/>
  <c r="Z17" i="8"/>
  <c r="Z6" i="8"/>
  <c r="AA57" i="8" a="1"/>
  <c r="AA57" i="8" s="1"/>
  <c r="AB33" i="8" a="1"/>
  <c r="AB33" i="8" s="1"/>
  <c r="AB39" i="8" a="1"/>
  <c r="AB39" i="8" s="1"/>
  <c r="Z39" i="8"/>
  <c r="AB62" i="8" a="1"/>
  <c r="AB62" i="8" s="1"/>
  <c r="AB64" i="8" a="1"/>
  <c r="AB64" i="8" s="1"/>
  <c r="Y39" i="8"/>
  <c r="Z62" i="8"/>
  <c r="AA64" i="8" a="1"/>
  <c r="AA64" i="8" s="1"/>
  <c r="AB50" i="8" a="1"/>
  <c r="AB50" i="8" s="1"/>
  <c r="Y62" i="8"/>
  <c r="Z64" i="8"/>
  <c r="X64" i="8" s="1"/>
  <c r="AB30" i="8" a="1"/>
  <c r="AB30" i="8" s="1"/>
  <c r="AA16" i="8" a="1"/>
  <c r="AA16" i="8" s="1"/>
  <c r="AA30" i="8" a="1"/>
  <c r="AA30" i="8" s="1"/>
  <c r="AB16" i="8" a="1"/>
  <c r="AB16" i="8" s="1"/>
  <c r="Z38" i="8"/>
  <c r="AB41" i="8" a="1"/>
  <c r="AB41" i="8" s="1"/>
  <c r="AB45" i="8" a="1"/>
  <c r="AB45" i="8" s="1"/>
  <c r="Z30" i="8"/>
  <c r="Z16" i="8"/>
  <c r="X16" i="8" s="1"/>
  <c r="AA45" i="8" a="1"/>
  <c r="AA45" i="8" s="1"/>
  <c r="AB2" i="8" a="1"/>
  <c r="AB2" i="8" s="1"/>
  <c r="AA2" i="8" a="1"/>
  <c r="AA2" i="8" s="1"/>
  <c r="AQ3" i="13" a="1"/>
  <c r="AQ3" i="13" s="1"/>
  <c r="AR3" i="13" a="1"/>
  <c r="AR3" i="13" s="1"/>
  <c r="AR2" i="13" a="1"/>
  <c r="AR2" i="13" s="1"/>
  <c r="AQ2" i="13" a="1"/>
  <c r="AQ2" i="13" s="1"/>
  <c r="AP2" i="13"/>
  <c r="AO2" i="13"/>
  <c r="AN2" i="13" s="1"/>
  <c r="AG3" i="13" a="1"/>
  <c r="AG3" i="13" s="1"/>
  <c r="AX9" i="14"/>
  <c r="AX5" i="14"/>
  <c r="BB8" i="14" a="1"/>
  <c r="BB8" i="14" s="1"/>
  <c r="BB3" i="14" a="1"/>
  <c r="BB3" i="14" s="1"/>
  <c r="BB2" i="14" a="1"/>
  <c r="BB2" i="14" s="1"/>
  <c r="BB7" i="14" a="1"/>
  <c r="BB7" i="14" s="1"/>
  <c r="BB6" i="14" a="1"/>
  <c r="BB6" i="14" s="1"/>
  <c r="BA2" i="14" a="1"/>
  <c r="BA2" i="14" s="1"/>
  <c r="BA3" i="14" a="1"/>
  <c r="BA3" i="14" s="1"/>
  <c r="BA5" i="14" a="1"/>
  <c r="BA5" i="14" s="1"/>
  <c r="BA8" i="14" a="1"/>
  <c r="BA8" i="14" s="1"/>
  <c r="AB8" i="8" l="1" a="1"/>
  <c r="AB8" i="8" s="1"/>
  <c r="X30" i="8"/>
  <c r="X6" i="8"/>
  <c r="Z22" i="8"/>
  <c r="X22" i="8" s="1"/>
  <c r="AA4" i="8" a="1"/>
  <c r="AA4" i="8" s="1"/>
  <c r="Z25" i="8"/>
  <c r="X25" i="8" s="1"/>
  <c r="Z58" i="8"/>
  <c r="AB4" i="8" a="1"/>
  <c r="AB4" i="8" s="1"/>
  <c r="AB22" i="8" a="1"/>
  <c r="AB22" i="8" s="1"/>
  <c r="AB35" i="8" a="1"/>
  <c r="AB35" i="8" s="1"/>
  <c r="AB25" i="8" a="1"/>
  <c r="AB25" i="8" s="1"/>
  <c r="Z61" i="8"/>
  <c r="AA3" i="8" a="1"/>
  <c r="AA3" i="8" s="1"/>
  <c r="Z4" i="8"/>
  <c r="X4" i="8" s="1"/>
  <c r="AA50" i="8" a="1"/>
  <c r="AA50" i="8" s="1"/>
  <c r="AA61" i="8" a="1"/>
  <c r="AA61" i="8" s="1"/>
  <c r="Z35" i="8"/>
  <c r="X35" i="8" s="1"/>
  <c r="Z50" i="8"/>
  <c r="X50" i="8" s="1"/>
  <c r="AA24" i="8" a="1"/>
  <c r="AA24" i="8" s="1"/>
  <c r="AA25" i="8" a="1"/>
  <c r="AA25" i="8" s="1"/>
  <c r="AB7" i="8" a="1"/>
  <c r="AB7" i="8" s="1"/>
  <c r="AB20" i="8" a="1"/>
  <c r="AB20" i="8" s="1"/>
  <c r="AA35" i="8" a="1"/>
  <c r="AA35" i="8" s="1"/>
  <c r="Z5" i="8"/>
  <c r="X5" i="8" s="1"/>
  <c r="AB49" i="8" a="1"/>
  <c r="AB49" i="8" s="1"/>
  <c r="Y49" i="8"/>
  <c r="X49" i="8" s="1"/>
  <c r="AA5" i="8" a="1"/>
  <c r="AA5" i="8" s="1"/>
  <c r="AA49" i="8" a="1"/>
  <c r="AA49" i="8" s="1"/>
  <c r="AB9" i="8" a="1"/>
  <c r="AB9" i="8" s="1"/>
  <c r="Z21" i="8"/>
  <c r="Z52" i="8"/>
  <c r="AA14" i="8" a="1"/>
  <c r="AA14" i="8" s="1"/>
  <c r="Z10" i="8"/>
  <c r="AT13" i="8"/>
  <c r="X39" i="8"/>
  <c r="AH2" i="8"/>
  <c r="AA58" i="8" a="1"/>
  <c r="AA58" i="8" s="1"/>
  <c r="AB14" i="8" a="1"/>
  <c r="AB14" i="8" s="1"/>
  <c r="Z41" i="8"/>
  <c r="X41" i="8" s="1"/>
  <c r="AB57" i="8" a="1"/>
  <c r="AB57" i="8" s="1"/>
  <c r="Y38" i="8"/>
  <c r="X38" i="8" s="1"/>
  <c r="AB38" i="8" a="1"/>
  <c r="AB38" i="8" s="1"/>
  <c r="Y61" i="8"/>
  <c r="AA41" i="8" a="1"/>
  <c r="AA41" i="8" s="1"/>
  <c r="AB51" i="8" a="1"/>
  <c r="AB51" i="8" s="1"/>
  <c r="Y21" i="8"/>
  <c r="X21" i="8" s="1"/>
  <c r="AA21" i="8" a="1"/>
  <c r="AA21" i="8" s="1"/>
  <c r="Y57" i="8"/>
  <c r="X57" i="8" s="1"/>
  <c r="AT45" i="8"/>
  <c r="Z14" i="8"/>
  <c r="X14" i="8" s="1"/>
  <c r="AT29" i="8"/>
  <c r="AA10" i="8" a="1"/>
  <c r="AA10" i="8" s="1"/>
  <c r="AA7" i="8" a="1"/>
  <c r="AA7" i="8" s="1"/>
  <c r="Y26" i="8"/>
  <c r="AB6" i="8" a="1"/>
  <c r="AB6" i="8" s="1"/>
  <c r="AB34" i="8" a="1"/>
  <c r="AB34" i="8" s="1"/>
  <c r="AS26" i="8"/>
  <c r="AA6" i="8" a="1"/>
  <c r="AA6" i="8" s="1"/>
  <c r="Y52" i="8"/>
  <c r="Z45" i="8"/>
  <c r="X45" i="8" s="1"/>
  <c r="AB66" i="8" a="1"/>
  <c r="AB66" i="8" s="1"/>
  <c r="Y58" i="8"/>
  <c r="X58" i="8" s="1"/>
  <c r="AA22" i="8" a="1"/>
  <c r="AA22" i="8" s="1"/>
  <c r="AB54" i="8" a="1"/>
  <c r="AB54" i="8" s="1"/>
  <c r="Z36" i="8"/>
  <c r="Z24" i="8"/>
  <c r="X24" i="8" s="1"/>
  <c r="AA66" i="8" a="1"/>
  <c r="AA66" i="8" s="1"/>
  <c r="Y67" i="8"/>
  <c r="AA20" i="8" a="1"/>
  <c r="AA20" i="8" s="1"/>
  <c r="Z67" i="8"/>
  <c r="AA52" i="8" a="1"/>
  <c r="AA52" i="8" s="1"/>
  <c r="Y40" i="8"/>
  <c r="X40" i="8" s="1"/>
  <c r="AB40" i="8" a="1"/>
  <c r="AB40" i="8" s="1"/>
  <c r="AA40" i="8" a="1"/>
  <c r="AA40" i="8" s="1"/>
  <c r="AA51" i="8" a="1"/>
  <c r="AA51" i="8" s="1"/>
  <c r="Z66" i="8"/>
  <c r="X66" i="8" s="1"/>
  <c r="Y7" i="8"/>
  <c r="X7" i="8" s="1"/>
  <c r="Y20" i="8"/>
  <c r="X20" i="8" s="1"/>
  <c r="Z11" i="8"/>
  <c r="X11" i="8" s="1"/>
  <c r="X62" i="8"/>
  <c r="AB55" i="8" a="1"/>
  <c r="AB55" i="8" s="1"/>
  <c r="Z47" i="8"/>
  <c r="X47" i="8" s="1"/>
  <c r="AB47" i="8" a="1"/>
  <c r="AB47" i="8" s="1"/>
  <c r="AB11" i="8" a="1"/>
  <c r="AB11" i="8" s="1"/>
  <c r="Y44" i="8"/>
  <c r="Z43" i="8"/>
  <c r="X43" i="8" s="1"/>
  <c r="Y60" i="8"/>
  <c r="AB13" i="8" a="1"/>
  <c r="AB13" i="8" s="1"/>
  <c r="AA27" i="8" a="1"/>
  <c r="AA27" i="8" s="1"/>
  <c r="AA67" i="8" a="1"/>
  <c r="AA67" i="8" s="1"/>
  <c r="AA19" i="8" a="1"/>
  <c r="AA19" i="8" s="1"/>
  <c r="AA47" i="8" a="1"/>
  <c r="AA47" i="8" s="1"/>
  <c r="AA11" i="8" a="1"/>
  <c r="AA11" i="8" s="1"/>
  <c r="AB44" i="8" a="1"/>
  <c r="AB44" i="8" s="1"/>
  <c r="Z27" i="8"/>
  <c r="X27" i="8" s="1"/>
  <c r="AA15" i="8" a="1"/>
  <c r="AA15" i="8" s="1"/>
  <c r="AA59" i="8" a="1"/>
  <c r="AA59" i="8" s="1"/>
  <c r="Z53" i="8"/>
  <c r="X53" i="8" s="1"/>
  <c r="AB43" i="8" a="1"/>
  <c r="AB43" i="8" s="1"/>
  <c r="AA13" i="8" a="1"/>
  <c r="AA13" i="8" s="1"/>
  <c r="AB15" i="8" a="1"/>
  <c r="AB15" i="8" s="1"/>
  <c r="AA48" i="8" a="1"/>
  <c r="AA48" i="8" s="1"/>
  <c r="AB27" i="8" a="1"/>
  <c r="AB27" i="8" s="1"/>
  <c r="AA43" i="8" a="1"/>
  <c r="AA43" i="8" s="1"/>
  <c r="AA31" i="8" a="1"/>
  <c r="AA31" i="8" s="1"/>
  <c r="AB5" i="8" a="1"/>
  <c r="AB5" i="8" s="1"/>
  <c r="Z15" i="8"/>
  <c r="X15" i="8" s="1"/>
  <c r="AB48" i="8" a="1"/>
  <c r="AB48" i="8" s="1"/>
  <c r="AB53" i="8" a="1"/>
  <c r="AB53" i="8" s="1"/>
  <c r="AA56" i="8" a="1"/>
  <c r="AA56" i="8" s="1"/>
  <c r="Z48" i="8"/>
  <c r="X48" i="8" s="1"/>
  <c r="Y13" i="8"/>
  <c r="X13" i="8" s="1"/>
  <c r="AB59" i="8" a="1"/>
  <c r="AB59" i="8" s="1"/>
  <c r="Y37" i="8"/>
  <c r="Y54" i="8"/>
  <c r="X54" i="8" s="1"/>
  <c r="AB18" i="8" a="1"/>
  <c r="AB18" i="8" s="1"/>
  <c r="Z18" i="8"/>
  <c r="X18" i="8" s="1"/>
  <c r="Z42" i="8"/>
  <c r="X42" i="8" s="1"/>
  <c r="Y3" i="8"/>
  <c r="AB36" i="8" a="1"/>
  <c r="AB36" i="8" s="1"/>
  <c r="AA37" i="8" a="1"/>
  <c r="AA37" i="8" s="1"/>
  <c r="Z3" i="8"/>
  <c r="AB60" i="8" a="1"/>
  <c r="AB60" i="8" s="1"/>
  <c r="Z44" i="8"/>
  <c r="Y51" i="8"/>
  <c r="X51" i="8" s="1"/>
  <c r="AB42" i="8" a="1"/>
  <c r="AB42" i="8" s="1"/>
  <c r="Z37" i="8"/>
  <c r="Z60" i="8"/>
  <c r="AB24" i="8" a="1"/>
  <c r="AB24" i="8" s="1"/>
  <c r="Y65" i="8"/>
  <c r="AA42" i="8" a="1"/>
  <c r="AA42" i="8" s="1"/>
  <c r="Y59" i="8"/>
  <c r="X59" i="8" s="1"/>
  <c r="X17" i="8"/>
  <c r="Z65" i="8"/>
  <c r="AA18" i="8" a="1"/>
  <c r="AA18" i="8" s="1"/>
  <c r="AB65" i="8" a="1"/>
  <c r="AB65" i="8" s="1"/>
  <c r="AA26" i="8" a="1"/>
  <c r="AA26" i="8" s="1"/>
  <c r="AK34" i="8" a="1"/>
  <c r="AK34" i="8" s="1"/>
  <c r="Y46" i="8"/>
  <c r="X46" i="8" s="1"/>
  <c r="AB46" i="8" a="1"/>
  <c r="AB46" i="8" s="1"/>
  <c r="AI7" i="8"/>
  <c r="AS5" i="8" s="1"/>
  <c r="AJ7" i="8"/>
  <c r="AT5" i="8" s="1"/>
  <c r="AK7" i="8" a="1"/>
  <c r="AK7" i="8" s="1"/>
  <c r="AL7" i="8" a="1"/>
  <c r="AL7" i="8" s="1"/>
  <c r="AI24" i="8"/>
  <c r="AK24" i="8" a="1"/>
  <c r="AK24" i="8" s="1"/>
  <c r="AL24" i="8" a="1"/>
  <c r="AL24" i="8" s="1"/>
  <c r="AJ24" i="8"/>
  <c r="AB56" i="8" a="1"/>
  <c r="AB56" i="8" s="1"/>
  <c r="AA46" i="8" a="1"/>
  <c r="AA46" i="8" s="1"/>
  <c r="Z19" i="8"/>
  <c r="X19" i="8" s="1"/>
  <c r="AJ36" i="8"/>
  <c r="AI36" i="8"/>
  <c r="AK36" i="8" a="1"/>
  <c r="AK36" i="8" s="1"/>
  <c r="AL36" i="8" a="1"/>
  <c r="AL36" i="8" s="1"/>
  <c r="AI35" i="8"/>
  <c r="AK35" i="8" a="1"/>
  <c r="AK35" i="8" s="1"/>
  <c r="AL35" i="8" a="1"/>
  <c r="AL35" i="8" s="1"/>
  <c r="AJ35" i="8"/>
  <c r="AL22" i="8" a="1"/>
  <c r="AL22" i="8" s="1"/>
  <c r="AK22" i="8" a="1"/>
  <c r="AK22" i="8" s="1"/>
  <c r="AJ22" i="8"/>
  <c r="AT15" i="8" s="1"/>
  <c r="AL5" i="8" a="1"/>
  <c r="AL5" i="8" s="1"/>
  <c r="AK5" i="8" a="1"/>
  <c r="AK5" i="8" s="1"/>
  <c r="AJ5" i="8"/>
  <c r="AI5" i="8"/>
  <c r="AK15" i="8" a="1"/>
  <c r="AK15" i="8" s="1"/>
  <c r="AJ15" i="8"/>
  <c r="AL15" i="8" a="1"/>
  <c r="AL15" i="8" s="1"/>
  <c r="AJ12" i="8"/>
  <c r="AI12" i="8"/>
  <c r="AS8" i="8" s="1"/>
  <c r="AK12" i="8" a="1"/>
  <c r="AK12" i="8" s="1"/>
  <c r="AL12" i="8" a="1"/>
  <c r="AL12" i="8" s="1"/>
  <c r="Z12" i="8"/>
  <c r="X12" i="8" s="1"/>
  <c r="AJ25" i="8"/>
  <c r="AT17" i="8" s="1"/>
  <c r="AL25" i="8" a="1"/>
  <c r="AL25" i="8" s="1"/>
  <c r="AK25" i="8" a="1"/>
  <c r="AK25" i="8" s="1"/>
  <c r="AJ17" i="8"/>
  <c r="AL17" i="8" a="1"/>
  <c r="AL17" i="8" s="1"/>
  <c r="AK17" i="8" a="1"/>
  <c r="AK17" i="8" s="1"/>
  <c r="AI19" i="8"/>
  <c r="AH19" i="8" s="1"/>
  <c r="AK19" i="8" a="1"/>
  <c r="AK19" i="8" s="1"/>
  <c r="AL19" i="8" a="1"/>
  <c r="AL19" i="8" s="1"/>
  <c r="AJ29" i="8"/>
  <c r="AK29" i="8" a="1"/>
  <c r="AK29" i="8" s="1"/>
  <c r="AI29" i="8"/>
  <c r="AL29" i="8" a="1"/>
  <c r="AL29" i="8" s="1"/>
  <c r="AJ61" i="8"/>
  <c r="AT41" i="8" s="1"/>
  <c r="AI61" i="8"/>
  <c r="AS41" i="8" s="1"/>
  <c r="AK61" i="8" a="1"/>
  <c r="AK61" i="8" s="1"/>
  <c r="AJ57" i="8"/>
  <c r="AL57" i="8" a="1"/>
  <c r="AL57" i="8" s="1"/>
  <c r="AI57" i="8"/>
  <c r="AK67" i="8" a="1"/>
  <c r="AK67" i="8" s="1"/>
  <c r="AI67" i="8"/>
  <c r="AH67" i="8" s="1"/>
  <c r="AL67" i="8" a="1"/>
  <c r="AL67" i="8" s="1"/>
  <c r="Y23" i="8"/>
  <c r="AI59" i="8"/>
  <c r="AK59" i="8" a="1"/>
  <c r="AK59" i="8" s="1"/>
  <c r="AL59" i="8" a="1"/>
  <c r="AL59" i="8" s="1"/>
  <c r="AI48" i="8"/>
  <c r="AS32" i="8" s="1"/>
  <c r="AK48" i="8" a="1"/>
  <c r="AK48" i="8" s="1"/>
  <c r="AL48" i="8" a="1"/>
  <c r="AL48" i="8" s="1"/>
  <c r="AJ48" i="8"/>
  <c r="AL55" i="8" a="1"/>
  <c r="AL55" i="8" s="1"/>
  <c r="AK55" i="8" a="1"/>
  <c r="AK55" i="8" s="1"/>
  <c r="AL31" i="8" a="1"/>
  <c r="AL31" i="8" s="1"/>
  <c r="AK31" i="8" a="1"/>
  <c r="AK31" i="8" s="1"/>
  <c r="AJ31" i="8"/>
  <c r="AT21" i="8" s="1"/>
  <c r="Z31" i="8"/>
  <c r="X31" i="8" s="1"/>
  <c r="Y63" i="8"/>
  <c r="Y36" i="8"/>
  <c r="AJ20" i="8"/>
  <c r="AI20" i="8"/>
  <c r="AK20" i="8" a="1"/>
  <c r="AK20" i="8" s="1"/>
  <c r="AL20" i="8" a="1"/>
  <c r="AL20" i="8" s="1"/>
  <c r="AJ13" i="8"/>
  <c r="AT9" i="8" s="1"/>
  <c r="AL13" i="8" a="1"/>
  <c r="AL13" i="8" s="1"/>
  <c r="AI13" i="8"/>
  <c r="AS9" i="8" s="1"/>
  <c r="AK13" i="8" a="1"/>
  <c r="AK13" i="8" s="1"/>
  <c r="AI51" i="8"/>
  <c r="AH51" i="8" s="1"/>
  <c r="AK51" i="8" a="1"/>
  <c r="AK51" i="8" s="1"/>
  <c r="AL51" i="8" a="1"/>
  <c r="AL51" i="8" s="1"/>
  <c r="AJ58" i="8"/>
  <c r="AT39" i="8" s="1"/>
  <c r="AI58" i="8"/>
  <c r="AS39" i="8" s="1"/>
  <c r="AL58" i="8" a="1"/>
  <c r="AL58" i="8" s="1"/>
  <c r="AL33" i="8" a="1"/>
  <c r="AL33" i="8" s="1"/>
  <c r="AK33" i="8" a="1"/>
  <c r="AK33" i="8" s="1"/>
  <c r="AJ49" i="8"/>
  <c r="AT33" i="8" s="1"/>
  <c r="AL49" i="8" a="1"/>
  <c r="AL49" i="8" s="1"/>
  <c r="AI49" i="8"/>
  <c r="AS33" i="8" s="1"/>
  <c r="AI56" i="8"/>
  <c r="AK56" i="8" a="1"/>
  <c r="AK56" i="8" s="1"/>
  <c r="AL56" i="8" a="1"/>
  <c r="AL56" i="8" s="1"/>
  <c r="AJ56" i="8"/>
  <c r="AI55" i="8"/>
  <c r="AS37" i="8" s="1"/>
  <c r="Z55" i="8"/>
  <c r="AJ55" i="8"/>
  <c r="AT37" i="8" s="1"/>
  <c r="Y55" i="8"/>
  <c r="AJ60" i="8"/>
  <c r="AI60" i="8"/>
  <c r="AL60" i="8" a="1"/>
  <c r="AL60" i="8" s="1"/>
  <c r="AK60" i="8" a="1"/>
  <c r="AK60" i="8" s="1"/>
  <c r="Z56" i="8"/>
  <c r="X56" i="8" s="1"/>
  <c r="AA23" i="8" a="1"/>
  <c r="AA23" i="8" s="1"/>
  <c r="AA12" i="8" a="1"/>
  <c r="AA12" i="8" s="1"/>
  <c r="Z63" i="8"/>
  <c r="AJ37" i="8"/>
  <c r="AT25" i="8" s="1"/>
  <c r="AK37" i="8" a="1"/>
  <c r="AK37" i="8" s="1"/>
  <c r="AI37" i="8"/>
  <c r="AS25" i="8" s="1"/>
  <c r="AL37" i="8" a="1"/>
  <c r="AL37" i="8" s="1"/>
  <c r="AJ65" i="8"/>
  <c r="AI65" i="8"/>
  <c r="AK65" i="8" a="1"/>
  <c r="AK65" i="8" s="1"/>
  <c r="AL65" i="8" a="1"/>
  <c r="AL65" i="8" s="1"/>
  <c r="Z33" i="8"/>
  <c r="AI33" i="8"/>
  <c r="AJ33" i="8"/>
  <c r="Y33" i="8"/>
  <c r="AK32" i="8" a="1"/>
  <c r="AK32" i="8" s="1"/>
  <c r="AL32" i="8" a="1"/>
  <c r="AL32" i="8" s="1"/>
  <c r="AK23" i="8" a="1"/>
  <c r="AK23" i="8" s="1"/>
  <c r="AL23" i="8" a="1"/>
  <c r="AL23" i="8" s="1"/>
  <c r="AJ23" i="8"/>
  <c r="AJ50" i="8"/>
  <c r="AT34" i="8" s="1"/>
  <c r="AI50" i="8"/>
  <c r="AL50" i="8" a="1"/>
  <c r="AL50" i="8" s="1"/>
  <c r="AJ63" i="8"/>
  <c r="AL63" i="8" a="1"/>
  <c r="AL63" i="8" s="1"/>
  <c r="AI63" i="8"/>
  <c r="AS42" i="8" s="1"/>
  <c r="AK46" i="8" a="1"/>
  <c r="AK46" i="8" s="1"/>
  <c r="AL46" i="8" a="1"/>
  <c r="AL46" i="8" s="1"/>
  <c r="AI46" i="8"/>
  <c r="AS31" i="8" s="1"/>
  <c r="AJ46" i="8"/>
  <c r="AT31" i="8" s="1"/>
  <c r="AJ28" i="8"/>
  <c r="AT19" i="8" s="1"/>
  <c r="AI28" i="8"/>
  <c r="AS19" i="8" s="1"/>
  <c r="AK28" i="8" a="1"/>
  <c r="AK28" i="8" s="1"/>
  <c r="AL28" i="8" a="1"/>
  <c r="AL28" i="8" s="1"/>
  <c r="AJ44" i="8"/>
  <c r="AI44" i="8"/>
  <c r="AK44" i="8" a="1"/>
  <c r="AK44" i="8" s="1"/>
  <c r="AL44" i="8" a="1"/>
  <c r="AL44" i="8" s="1"/>
  <c r="Z32" i="8"/>
  <c r="Y32" i="8"/>
  <c r="AJ32" i="8"/>
  <c r="AI32" i="8"/>
  <c r="AA28" i="8" a="1"/>
  <c r="AA28" i="8" s="1"/>
  <c r="Z23" i="8"/>
  <c r="AJ26" i="8"/>
  <c r="AT18" i="8" s="1"/>
  <c r="AL26" i="8" a="1"/>
  <c r="AL26" i="8" s="1"/>
  <c r="AI26" i="8"/>
  <c r="AK26" i="8" a="1"/>
  <c r="AK26" i="8" s="1"/>
  <c r="AK11" i="8" a="1"/>
  <c r="AK11" i="8" s="1"/>
  <c r="AL11" i="8" a="1"/>
  <c r="AL11" i="8" s="1"/>
  <c r="AJ11" i="8"/>
  <c r="AH11" i="8" s="1"/>
  <c r="AJ52" i="8"/>
  <c r="AT35" i="8" s="1"/>
  <c r="AI52" i="8"/>
  <c r="AS35" i="8" s="1"/>
  <c r="AK52" i="8" a="1"/>
  <c r="AK52" i="8" s="1"/>
  <c r="AL52" i="8" a="1"/>
  <c r="AL52" i="8" s="1"/>
  <c r="AI15" i="8"/>
  <c r="AK62" i="8" a="1"/>
  <c r="AK62" i="8" s="1"/>
  <c r="AL62" i="8" a="1"/>
  <c r="AL62" i="8" s="1"/>
  <c r="AJ62" i="8"/>
  <c r="AH62" i="8" s="1"/>
  <c r="AL30" i="8" a="1"/>
  <c r="AL30" i="8" s="1"/>
  <c r="AJ30" i="8"/>
  <c r="AI30" i="8"/>
  <c r="AK30" i="8" a="1"/>
  <c r="AK30" i="8" s="1"/>
  <c r="AJ45" i="8"/>
  <c r="AK45" i="8" a="1"/>
  <c r="AK45" i="8" s="1"/>
  <c r="AI45" i="8"/>
  <c r="AL45" i="8" a="1"/>
  <c r="AL45" i="8" s="1"/>
  <c r="AL3" i="8" a="1"/>
  <c r="AL3" i="8" s="1"/>
  <c r="AK3" i="8" a="1"/>
  <c r="AK3" i="8" s="1"/>
  <c r="AI3" i="8"/>
  <c r="AS2" i="8" s="1"/>
  <c r="AJ3" i="8"/>
  <c r="AT2" i="8" s="1"/>
  <c r="AJ42" i="8"/>
  <c r="AI42" i="8"/>
  <c r="AS28" i="8" s="1"/>
  <c r="AK42" i="8" a="1"/>
  <c r="AK42" i="8" s="1"/>
  <c r="AL42" i="8" a="1"/>
  <c r="AL42" i="8" s="1"/>
  <c r="AL14" i="8" a="1"/>
  <c r="AL14" i="8" s="1"/>
  <c r="AK14" i="8" a="1"/>
  <c r="AK14" i="8" s="1"/>
  <c r="AJ14" i="8"/>
  <c r="AI14" i="8"/>
  <c r="AB31" i="8" a="1"/>
  <c r="AB31" i="8" s="1"/>
  <c r="AB19" i="8" a="1"/>
  <c r="AB19" i="8" s="1"/>
  <c r="AB12" i="8" a="1"/>
  <c r="AB12" i="8" s="1"/>
  <c r="AA17" i="8" a="1"/>
  <c r="AA17" i="8" s="1"/>
  <c r="AI22" i="8"/>
  <c r="AS15" i="8" s="1"/>
  <c r="AI43" i="8"/>
  <c r="AH43" i="8" s="1"/>
  <c r="AK43" i="8" a="1"/>
  <c r="AK43" i="8" s="1"/>
  <c r="AL43" i="8" a="1"/>
  <c r="AL43" i="8" s="1"/>
  <c r="AJ47" i="8"/>
  <c r="AH47" i="8" s="1"/>
  <c r="AL47" i="8" a="1"/>
  <c r="AL47" i="8" s="1"/>
  <c r="AK47" i="8" a="1"/>
  <c r="AK47" i="8" s="1"/>
  <c r="AL4" i="8" a="1"/>
  <c r="AL4" i="8" s="1"/>
  <c r="AK4" i="8" a="1"/>
  <c r="AK4" i="8" s="1"/>
  <c r="AJ4" i="8"/>
  <c r="AT3" i="8" s="1"/>
  <c r="AI4" i="8"/>
  <c r="AS3" i="8" s="1"/>
  <c r="AI16" i="8"/>
  <c r="AS11" i="8" s="1"/>
  <c r="AK16" i="8" a="1"/>
  <c r="AK16" i="8" s="1"/>
  <c r="AL16" i="8" a="1"/>
  <c r="AL16" i="8" s="1"/>
  <c r="AJ16" i="8"/>
  <c r="AT11" i="8" s="1"/>
  <c r="AL38" i="8" a="1"/>
  <c r="AL38" i="8" s="1"/>
  <c r="AK38" i="8" a="1"/>
  <c r="AK38" i="8" s="1"/>
  <c r="AJ38" i="8"/>
  <c r="AH38" i="8" s="1"/>
  <c r="AB32" i="8" a="1"/>
  <c r="AB32" i="8" s="1"/>
  <c r="Y28" i="8"/>
  <c r="AB17" i="8" a="1"/>
  <c r="AB17" i="8" s="1"/>
  <c r="Y29" i="8"/>
  <c r="Z34" i="8"/>
  <c r="Y34" i="8"/>
  <c r="AI34" i="8"/>
  <c r="AS23" i="8" s="1"/>
  <c r="AJ34" i="8"/>
  <c r="AT23" i="8" s="1"/>
  <c r="AK8" i="8" a="1"/>
  <c r="AK8" i="8" s="1"/>
  <c r="AL8" i="8" a="1"/>
  <c r="AL8" i="8" s="1"/>
  <c r="AI31" i="8"/>
  <c r="AS21" i="8" s="1"/>
  <c r="AJ21" i="8"/>
  <c r="AI21" i="8"/>
  <c r="AL21" i="8" a="1"/>
  <c r="AL21" i="8" s="1"/>
  <c r="AJ18" i="8"/>
  <c r="AI18" i="8"/>
  <c r="AL18" i="8" a="1"/>
  <c r="AL18" i="8" s="1"/>
  <c r="AK18" i="8" a="1"/>
  <c r="AK18" i="8" s="1"/>
  <c r="AL9" i="8" a="1"/>
  <c r="AL9" i="8" s="1"/>
  <c r="AK9" i="8" a="1"/>
  <c r="AK9" i="8" s="1"/>
  <c r="AI6" i="8"/>
  <c r="AJ6" i="8"/>
  <c r="AL6" i="8" a="1"/>
  <c r="AL6" i="8" s="1"/>
  <c r="AK6" i="8" a="1"/>
  <c r="AK6" i="8" s="1"/>
  <c r="AL39" i="8" a="1"/>
  <c r="AL39" i="8" s="1"/>
  <c r="AJ39" i="8"/>
  <c r="AH39" i="8" s="1"/>
  <c r="AK39" i="8" a="1"/>
  <c r="AK39" i="8" s="1"/>
  <c r="AJ8" i="8"/>
  <c r="AI8" i="8"/>
  <c r="Y8" i="8"/>
  <c r="Z8" i="8"/>
  <c r="AA63" i="8" a="1"/>
  <c r="AA63" i="8" s="1"/>
  <c r="Z26" i="8"/>
  <c r="X26" i="8" s="1"/>
  <c r="AB29" i="8" a="1"/>
  <c r="AB29" i="8" s="1"/>
  <c r="AI40" i="8"/>
  <c r="AS27" i="8" s="1"/>
  <c r="AK40" i="8" a="1"/>
  <c r="AK40" i="8" s="1"/>
  <c r="AL40" i="8" a="1"/>
  <c r="AL40" i="8" s="1"/>
  <c r="AJ40" i="8"/>
  <c r="AT27" i="8" s="1"/>
  <c r="AJ66" i="8"/>
  <c r="AI66" i="8"/>
  <c r="AL66" i="8" a="1"/>
  <c r="AL66" i="8" s="1"/>
  <c r="AK54" i="8" a="1"/>
  <c r="AK54" i="8" s="1"/>
  <c r="AL54" i="8" a="1"/>
  <c r="AL54" i="8" s="1"/>
  <c r="AK53" i="8" a="1"/>
  <c r="AK53" i="8" s="1"/>
  <c r="AL53" i="8" a="1"/>
  <c r="AL53" i="8" s="1"/>
  <c r="AI27" i="8"/>
  <c r="AH27" i="8" s="1"/>
  <c r="AK27" i="8" a="1"/>
  <c r="AK27" i="8" s="1"/>
  <c r="AL27" i="8" a="1"/>
  <c r="AL27" i="8" s="1"/>
  <c r="Z9" i="8"/>
  <c r="AJ9" i="8"/>
  <c r="Y9" i="8"/>
  <c r="AI9" i="8"/>
  <c r="Z28" i="8"/>
  <c r="Z29" i="8"/>
  <c r="AJ59" i="8"/>
  <c r="AT40" i="8" s="1"/>
  <c r="AI25" i="8"/>
  <c r="AS17" i="8" s="1"/>
  <c r="AA54" i="8" a="1"/>
  <c r="AA54" i="8" s="1"/>
  <c r="AI54" i="8"/>
  <c r="AJ54" i="8"/>
  <c r="AA53" i="8" a="1"/>
  <c r="AA53" i="8" s="1"/>
  <c r="AJ53" i="8"/>
  <c r="AI53" i="8"/>
  <c r="AJ41" i="8"/>
  <c r="AH41" i="8" s="1"/>
  <c r="AL41" i="8" a="1"/>
  <c r="AL41" i="8" s="1"/>
  <c r="AK41" i="8" a="1"/>
  <c r="AK41" i="8" s="1"/>
  <c r="AL64" i="8" a="1"/>
  <c r="AL64" i="8" s="1"/>
  <c r="AK64" i="8" a="1"/>
  <c r="AK64" i="8" s="1"/>
  <c r="AI64" i="8"/>
  <c r="AS43" i="8" s="1"/>
  <c r="AJ64" i="8"/>
  <c r="AT43" i="8" s="1"/>
  <c r="AI23" i="8"/>
  <c r="AI17" i="8"/>
  <c r="Y10" i="8"/>
  <c r="X10" i="8" s="1"/>
  <c r="AJ10" i="8"/>
  <c r="AT7" i="8" s="1"/>
  <c r="AI10" i="8"/>
  <c r="AS7" i="8" s="1"/>
  <c r="X67" i="8"/>
  <c r="X60" i="8" l="1"/>
  <c r="AS24" i="8"/>
  <c r="X61" i="8"/>
  <c r="X36" i="8"/>
  <c r="AS16" i="8"/>
  <c r="AT10" i="8"/>
  <c r="AS22" i="8"/>
  <c r="AT16" i="8"/>
  <c r="AT22" i="8"/>
  <c r="AR11" i="8"/>
  <c r="AT44" i="8"/>
  <c r="AS44" i="8"/>
  <c r="AR5" i="8"/>
  <c r="X52" i="8"/>
  <c r="AS30" i="8"/>
  <c r="AS38" i="8"/>
  <c r="AT20" i="8"/>
  <c r="AS10" i="8"/>
  <c r="AT38" i="8"/>
  <c r="AV43" i="8" a="1"/>
  <c r="AV43" i="8" s="1"/>
  <c r="AS36" i="8"/>
  <c r="AT30" i="8"/>
  <c r="AR9" i="8"/>
  <c r="AT36" i="8"/>
  <c r="AS6" i="8"/>
  <c r="AS14" i="8"/>
  <c r="AS40" i="8"/>
  <c r="AR40" i="8" s="1"/>
  <c r="AS4" i="8"/>
  <c r="AU2" i="8" a="1"/>
  <c r="AU2" i="8" s="1"/>
  <c r="AT14" i="8"/>
  <c r="AT4" i="8"/>
  <c r="AT6" i="8"/>
  <c r="AS18" i="8"/>
  <c r="AR18" i="8" s="1"/>
  <c r="AR41" i="8"/>
  <c r="AV42" i="8" a="1"/>
  <c r="AV42" i="8" s="1"/>
  <c r="AT12" i="8"/>
  <c r="AU21" i="8" a="1"/>
  <c r="AU21" i="8" s="1"/>
  <c r="AR39" i="8"/>
  <c r="AR21" i="8"/>
  <c r="AV15" i="8" a="1"/>
  <c r="AV15" i="8" s="1"/>
  <c r="AT24" i="8"/>
  <c r="AR24" i="8" s="1"/>
  <c r="AT28" i="8"/>
  <c r="AR28" i="8" s="1"/>
  <c r="AR31" i="8"/>
  <c r="AR17" i="8"/>
  <c r="AR43" i="8"/>
  <c r="AR27" i="8"/>
  <c r="AR2" i="8"/>
  <c r="AR15" i="8"/>
  <c r="AR35" i="8"/>
  <c r="AR7" i="8"/>
  <c r="AU9" i="8" a="1"/>
  <c r="AU9" i="8" s="1"/>
  <c r="AH17" i="8"/>
  <c r="AR23" i="8"/>
  <c r="AU26" i="8" a="1"/>
  <c r="AU26" i="8" s="1"/>
  <c r="AS45" i="8"/>
  <c r="AR45" i="8" s="1"/>
  <c r="AU5" i="8" a="1"/>
  <c r="AU5" i="8" s="1"/>
  <c r="AV45" i="8" a="1"/>
  <c r="AV45" i="8" s="1"/>
  <c r="AT8" i="8"/>
  <c r="AR8" i="8" s="1"/>
  <c r="AV34" i="8" a="1"/>
  <c r="AV34" i="8" s="1"/>
  <c r="AU12" i="8" a="1"/>
  <c r="AU12" i="8" s="1"/>
  <c r="AU11" i="8" a="1"/>
  <c r="AU11" i="8" s="1"/>
  <c r="AU43" i="8" a="1"/>
  <c r="AU43" i="8" s="1"/>
  <c r="AT32" i="8"/>
  <c r="AR32" i="8" s="1"/>
  <c r="AU33" i="8" a="1"/>
  <c r="AU33" i="8" s="1"/>
  <c r="AU29" i="8" a="1"/>
  <c r="AU29" i="8" s="1"/>
  <c r="AV28" i="8" a="1"/>
  <c r="AV28" i="8" s="1"/>
  <c r="AV32" i="8" a="1"/>
  <c r="AV32" i="8" s="1"/>
  <c r="AU38" i="8" a="1"/>
  <c r="AU38" i="8" s="1"/>
  <c r="AU28" i="8" a="1"/>
  <c r="AU28" i="8" s="1"/>
  <c r="AR33" i="8"/>
  <c r="AV29" i="8" a="1"/>
  <c r="AV29" i="8" s="1"/>
  <c r="AS12" i="8"/>
  <c r="AV23" i="8" a="1"/>
  <c r="AV23" i="8" s="1"/>
  <c r="AS29" i="8"/>
  <c r="AR29" i="8" s="1"/>
  <c r="AU42" i="8" a="1"/>
  <c r="AU42" i="8" s="1"/>
  <c r="AV5" i="8" a="1"/>
  <c r="AV5" i="8" s="1"/>
  <c r="AU41" i="8" a="1"/>
  <c r="AU41" i="8" s="1"/>
  <c r="AV9" i="8" a="1"/>
  <c r="AV9" i="8" s="1"/>
  <c r="AV17" i="8" a="1"/>
  <c r="AV17" i="8" s="1"/>
  <c r="AU13" i="8" a="1"/>
  <c r="AU13" i="8" s="1"/>
  <c r="AV10" i="8" a="1"/>
  <c r="AV10" i="8" s="1"/>
  <c r="AU20" i="8" a="1"/>
  <c r="AU20" i="8" s="1"/>
  <c r="AU8" i="8" a="1"/>
  <c r="AU8" i="8" s="1"/>
  <c r="AU30" i="8" a="1"/>
  <c r="AU30" i="8" s="1"/>
  <c r="AS13" i="8"/>
  <c r="AR13" i="8" s="1"/>
  <c r="AV14" i="8" a="1"/>
  <c r="AV14" i="8" s="1"/>
  <c r="AT42" i="8"/>
  <c r="AR42" i="8" s="1"/>
  <c r="AV37" i="8" a="1"/>
  <c r="AV37" i="8" s="1"/>
  <c r="AS20" i="8"/>
  <c r="AV33" i="8" a="1"/>
  <c r="AV33" i="8" s="1"/>
  <c r="AU22" i="8" a="1"/>
  <c r="AU22" i="8" s="1"/>
  <c r="AV7" i="8" a="1"/>
  <c r="AV7" i="8" s="1"/>
  <c r="AU17" i="8" a="1"/>
  <c r="AU17" i="8" s="1"/>
  <c r="AU27" i="8" a="1"/>
  <c r="AU27" i="8" s="1"/>
  <c r="AU44" i="8" a="1"/>
  <c r="AU44" i="8" s="1"/>
  <c r="AU14" i="8" a="1"/>
  <c r="AU14" i="8" s="1"/>
  <c r="AU4" i="8" a="1"/>
  <c r="AU4" i="8" s="1"/>
  <c r="AU34" i="8" a="1"/>
  <c r="AU34" i="8" s="1"/>
  <c r="AU7" i="8" a="1"/>
  <c r="AU7" i="8" s="1"/>
  <c r="AU40" i="8" a="1"/>
  <c r="AU40" i="8" s="1"/>
  <c r="AV35" i="8" a="1"/>
  <c r="AV35" i="8" s="1"/>
  <c r="AV22" i="8" a="1"/>
  <c r="AV22" i="8" s="1"/>
  <c r="AV39" i="8" a="1"/>
  <c r="AV39" i="8" s="1"/>
  <c r="AU24" i="8" a="1"/>
  <c r="AU24" i="8" s="1"/>
  <c r="AU19" i="8" a="1"/>
  <c r="AU19" i="8" s="1"/>
  <c r="AR25" i="8"/>
  <c r="AV21" i="8" a="1"/>
  <c r="AV21" i="8" s="1"/>
  <c r="AV24" i="8" a="1"/>
  <c r="AV24" i="8" s="1"/>
  <c r="AV8" i="8" a="1"/>
  <c r="AV8" i="8" s="1"/>
  <c r="AV6" i="8" a="1"/>
  <c r="AV6" i="8" s="1"/>
  <c r="AV40" i="8" a="1"/>
  <c r="AV40" i="8" s="1"/>
  <c r="AV16" i="8" a="1"/>
  <c r="AV16" i="8" s="1"/>
  <c r="AV27" i="8" a="1"/>
  <c r="AV27" i="8" s="1"/>
  <c r="AV41" i="8" a="1"/>
  <c r="AV41" i="8" s="1"/>
  <c r="AV2" i="8" a="1"/>
  <c r="AV2" i="8" s="1"/>
  <c r="AU45" i="8" a="1"/>
  <c r="AU45" i="8" s="1"/>
  <c r="AV20" i="8" a="1"/>
  <c r="AV20" i="8" s="1"/>
  <c r="AV26" i="8" a="1"/>
  <c r="AV26" i="8" s="1"/>
  <c r="AU6" i="8" a="1"/>
  <c r="AU6" i="8" s="1"/>
  <c r="AU39" i="8" a="1"/>
  <c r="AU39" i="8" s="1"/>
  <c r="AV25" i="8" a="1"/>
  <c r="AV25" i="8" s="1"/>
  <c r="AV38" i="8" a="1"/>
  <c r="AV38" i="8" s="1"/>
  <c r="AV30" i="8" a="1"/>
  <c r="AV30" i="8" s="1"/>
  <c r="AV11" i="8" a="1"/>
  <c r="AV11" i="8" s="1"/>
  <c r="AU25" i="8" a="1"/>
  <c r="AU25" i="8" s="1"/>
  <c r="AV31" i="8" a="1"/>
  <c r="AV31" i="8" s="1"/>
  <c r="AV3" i="8" a="1"/>
  <c r="AV3" i="8" s="1"/>
  <c r="AR37" i="8"/>
  <c r="AS34" i="8"/>
  <c r="AR34" i="8" s="1"/>
  <c r="AV4" i="8" a="1"/>
  <c r="AV4" i="8" s="1"/>
  <c r="AT26" i="8"/>
  <c r="AR26" i="8" s="1"/>
  <c r="AV13" i="8" a="1"/>
  <c r="AV13" i="8" s="1"/>
  <c r="AV12" i="8" a="1"/>
  <c r="AV12" i="8" s="1"/>
  <c r="AU36" i="8" a="1"/>
  <c r="AU36" i="8" s="1"/>
  <c r="AU35" i="8" a="1"/>
  <c r="AU35" i="8" s="1"/>
  <c r="AV19" i="8" a="1"/>
  <c r="AV19" i="8" s="1"/>
  <c r="AR3" i="8"/>
  <c r="AR19" i="8"/>
  <c r="AU3" i="8" a="1"/>
  <c r="AU3" i="8" s="1"/>
  <c r="AU32" i="8" a="1"/>
  <c r="AU32" i="8" s="1"/>
  <c r="AV44" i="8" a="1"/>
  <c r="AV44" i="8" s="1"/>
  <c r="AV36" i="8" a="1"/>
  <c r="AV36" i="8" s="1"/>
  <c r="AU23" i="8" a="1"/>
  <c r="AU23" i="8" s="1"/>
  <c r="AU18" i="8" a="1"/>
  <c r="AU18" i="8" s="1"/>
  <c r="AU37" i="8" a="1"/>
  <c r="AU37" i="8" s="1"/>
  <c r="AV18" i="8" a="1"/>
  <c r="AV18" i="8" s="1"/>
  <c r="AU10" i="8" a="1"/>
  <c r="AU10" i="8" s="1"/>
  <c r="AU31" i="8" a="1"/>
  <c r="AU31" i="8" s="1"/>
  <c r="AU15" i="8" a="1"/>
  <c r="AU15" i="8" s="1"/>
  <c r="AU16" i="8" a="1"/>
  <c r="AU16" i="8" s="1"/>
  <c r="AH26" i="8"/>
  <c r="AH34" i="8"/>
  <c r="X44" i="8"/>
  <c r="X3" i="8"/>
  <c r="X8" i="8"/>
  <c r="AH13" i="8"/>
  <c r="AH63" i="8"/>
  <c r="AH9" i="8"/>
  <c r="X29" i="8"/>
  <c r="AH65" i="8"/>
  <c r="AH61" i="8"/>
  <c r="AH8" i="8"/>
  <c r="AH21" i="8"/>
  <c r="AH16" i="8"/>
  <c r="AH20" i="8"/>
  <c r="AH28" i="8"/>
  <c r="X34" i="8"/>
  <c r="X9" i="8"/>
  <c r="AH18" i="8"/>
  <c r="AH44" i="8"/>
  <c r="AH45" i="8"/>
  <c r="X65" i="8"/>
  <c r="AH10" i="8"/>
  <c r="X33" i="8"/>
  <c r="X63" i="8"/>
  <c r="AH60" i="8"/>
  <c r="AH58" i="8"/>
  <c r="X37" i="8"/>
  <c r="AH25" i="8"/>
  <c r="AH57" i="8"/>
  <c r="AH35" i="8"/>
  <c r="AH36" i="8"/>
  <c r="AH23" i="8"/>
  <c r="AH59" i="8"/>
  <c r="AH5" i="8"/>
  <c r="X23" i="8"/>
  <c r="AH4" i="8"/>
  <c r="AH46" i="8"/>
  <c r="AH49" i="8"/>
  <c r="AH15" i="8"/>
  <c r="AH66" i="8"/>
  <c r="AH14" i="8"/>
  <c r="AH40" i="8"/>
  <c r="AH30" i="8"/>
  <c r="AH33" i="8"/>
  <c r="AH31" i="8"/>
  <c r="AH22" i="8"/>
  <c r="AH6" i="8"/>
  <c r="AH24" i="8"/>
  <c r="AH64" i="8"/>
  <c r="X55" i="8"/>
  <c r="AH54" i="8"/>
  <c r="AH42" i="8"/>
  <c r="AH32" i="8"/>
  <c r="X28" i="8"/>
  <c r="X32" i="8"/>
  <c r="AH55" i="8"/>
  <c r="AH48" i="8"/>
  <c r="AH7" i="8"/>
  <c r="AH56" i="8"/>
  <c r="AH3" i="8"/>
  <c r="AH50" i="8"/>
  <c r="AH37" i="8"/>
  <c r="AH29" i="8"/>
  <c r="AH12" i="8"/>
  <c r="AH53" i="8"/>
  <c r="AH52" i="8"/>
  <c r="AR44" i="8" l="1"/>
  <c r="AR10" i="8"/>
  <c r="AR20" i="8"/>
  <c r="AR22" i="8"/>
  <c r="AR16" i="8"/>
  <c r="AR30" i="8"/>
  <c r="AR38" i="8"/>
  <c r="AR36" i="8"/>
  <c r="AR12" i="8"/>
  <c r="AR14" i="8"/>
  <c r="AR4" i="8"/>
  <c r="AR6" i="8"/>
  <c r="AW1" i="10" l="1" a="1"/>
  <c r="AW1" i="10" s="1"/>
  <c r="AU1" i="10" a="1"/>
  <c r="AV94" i="10" a="1"/>
  <c r="AV94" i="10" s="1"/>
  <c r="AV93" i="10" a="1"/>
  <c r="AV93" i="10" s="1"/>
  <c r="AV92" i="10" a="1"/>
  <c r="AV92" i="10" s="1"/>
  <c r="AV91" i="10" a="1"/>
  <c r="AV91" i="10" s="1"/>
  <c r="AV90" i="10" a="1"/>
  <c r="AV90" i="10" s="1"/>
  <c r="AV89" i="10" a="1"/>
  <c r="AV89" i="10" s="1"/>
  <c r="AV88" i="10" a="1"/>
  <c r="AV88" i="10" s="1"/>
  <c r="AV87" i="10" a="1"/>
  <c r="AV87" i="10" s="1"/>
  <c r="AV86" i="10" a="1"/>
  <c r="AV86" i="10" s="1"/>
  <c r="AV85" i="10" a="1"/>
  <c r="AV85" i="10" s="1"/>
  <c r="AV84" i="10" a="1"/>
  <c r="AV84" i="10" s="1"/>
  <c r="AV83" i="10" a="1"/>
  <c r="AV83" i="10" s="1"/>
  <c r="AV82" i="10" a="1"/>
  <c r="AV82" i="10" s="1"/>
  <c r="AV81" i="10" a="1"/>
  <c r="AV81" i="10" s="1"/>
  <c r="AV80" i="10" a="1"/>
  <c r="AV80" i="10" s="1"/>
  <c r="AV79" i="10" a="1"/>
  <c r="AV79" i="10" s="1"/>
  <c r="AW69" i="10" a="1"/>
  <c r="AW69" i="10" s="1"/>
  <c r="AW68" i="10" a="1"/>
  <c r="AW68" i="10" s="1"/>
  <c r="AW67" i="10" a="1"/>
  <c r="AW67" i="10" s="1"/>
  <c r="AW66" i="10" a="1"/>
  <c r="AW66" i="10" s="1"/>
  <c r="AW65" i="10" a="1"/>
  <c r="AW65" i="10" s="1"/>
  <c r="AW64" i="10" a="1"/>
  <c r="AW64" i="10" s="1"/>
  <c r="AW63" i="10" a="1"/>
  <c r="AW63" i="10" s="1"/>
  <c r="AW62" i="10" a="1"/>
  <c r="AW62" i="10" s="1"/>
  <c r="AW61" i="10" a="1"/>
  <c r="AW61" i="10" s="1"/>
  <c r="AW60" i="10" a="1"/>
  <c r="AW60" i="10" s="1"/>
  <c r="AW59" i="10" a="1"/>
  <c r="AW59" i="10" s="1"/>
  <c r="AW58" i="10" a="1"/>
  <c r="AW58" i="10" s="1"/>
  <c r="AW57" i="10" a="1"/>
  <c r="AW57" i="10" s="1"/>
  <c r="AW56" i="10" a="1"/>
  <c r="AW56" i="10" s="1"/>
  <c r="AW55" i="10" a="1"/>
  <c r="AW55" i="10" s="1"/>
  <c r="AW54" i="10" a="1"/>
  <c r="AW54" i="10" s="1"/>
  <c r="AW53" i="10" a="1"/>
  <c r="AW53" i="10" s="1"/>
  <c r="AW52" i="10" a="1"/>
  <c r="AW52" i="10" s="1"/>
  <c r="AW51" i="10" a="1"/>
  <c r="AW51" i="10" s="1"/>
  <c r="AW50" i="10" a="1"/>
  <c r="AW50" i="10" s="1"/>
  <c r="AW49" i="10" a="1"/>
  <c r="AW49" i="10" s="1"/>
  <c r="AW48" i="10" a="1"/>
  <c r="AW48" i="10" s="1"/>
  <c r="AW47" i="10" a="1"/>
  <c r="AW47" i="10" s="1"/>
  <c r="AW46" i="10" a="1"/>
  <c r="AW46" i="10" s="1"/>
  <c r="AW45" i="10" a="1"/>
  <c r="AW45" i="10" s="1"/>
  <c r="AW44" i="10" a="1"/>
  <c r="AW44" i="10" s="1"/>
  <c r="AW43" i="10" a="1"/>
  <c r="AW43" i="10" s="1"/>
  <c r="AW42" i="10" a="1"/>
  <c r="AW42" i="10" s="1"/>
  <c r="AW41" i="10" a="1"/>
  <c r="AW41" i="10" s="1"/>
  <c r="AW40" i="10" a="1"/>
  <c r="AW40" i="10" s="1"/>
  <c r="AW39" i="10" a="1"/>
  <c r="AW39" i="10" s="1"/>
  <c r="AW38" i="10" a="1"/>
  <c r="AW38" i="10" s="1"/>
  <c r="AW37" i="10" a="1"/>
  <c r="AW37" i="10" s="1"/>
  <c r="AW36" i="10" a="1"/>
  <c r="AW36" i="10" s="1"/>
  <c r="AW35" i="10" a="1"/>
  <c r="AW35" i="10" s="1"/>
  <c r="AW34" i="10" a="1"/>
  <c r="AW34" i="10" s="1"/>
  <c r="AW33" i="10" a="1"/>
  <c r="AW33" i="10" s="1"/>
  <c r="AW32" i="10" a="1"/>
  <c r="AW32" i="10" s="1"/>
  <c r="AW31" i="10" a="1"/>
  <c r="AW31" i="10" s="1"/>
  <c r="AW30" i="10" a="1"/>
  <c r="AW30" i="10" s="1"/>
  <c r="AW29" i="10" a="1"/>
  <c r="AW29" i="10" s="1"/>
  <c r="AW28" i="10" a="1"/>
  <c r="AW28" i="10" s="1"/>
  <c r="AW27" i="10" a="1"/>
  <c r="AW27" i="10" s="1"/>
  <c r="AW26" i="10" a="1"/>
  <c r="AW26" i="10" s="1"/>
  <c r="AW25" i="10" a="1"/>
  <c r="AW25" i="10" s="1"/>
  <c r="AW24" i="10" a="1"/>
  <c r="AW24" i="10" s="1"/>
  <c r="AW23" i="10" a="1"/>
  <c r="AW23" i="10" s="1"/>
  <c r="AW22" i="10" a="1"/>
  <c r="AW22" i="10" s="1"/>
  <c r="AW21" i="10" a="1"/>
  <c r="AW21" i="10" s="1"/>
  <c r="AW20" i="10" a="1"/>
  <c r="AW20" i="10" s="1"/>
  <c r="AW19" i="10" a="1"/>
  <c r="AW19" i="10" s="1"/>
  <c r="AW18" i="10" a="1"/>
  <c r="AW18" i="10" s="1"/>
  <c r="AW17" i="10" a="1"/>
  <c r="AW17" i="10" s="1"/>
  <c r="AW16" i="10" a="1"/>
  <c r="AW16" i="10" s="1"/>
  <c r="AW15" i="10" a="1"/>
  <c r="AW15" i="10" s="1"/>
  <c r="AW14" i="10" a="1"/>
  <c r="AW14" i="10" s="1"/>
  <c r="AW13" i="10" a="1"/>
  <c r="AW13" i="10" s="1"/>
  <c r="AW12" i="10" a="1"/>
  <c r="AW12" i="10" s="1"/>
  <c r="AW11" i="10" a="1"/>
  <c r="AW11" i="10" s="1"/>
  <c r="AW10" i="10" a="1"/>
  <c r="AW10" i="10" s="1"/>
  <c r="AW9" i="10" a="1"/>
  <c r="AW9" i="10" s="1"/>
  <c r="AW8" i="10" a="1"/>
  <c r="AW8" i="10" s="1"/>
  <c r="AW7" i="10" a="1"/>
  <c r="AW7" i="10" s="1"/>
  <c r="AW6" i="10" a="1"/>
  <c r="AW6" i="10" s="1"/>
  <c r="AW5" i="10" a="1"/>
  <c r="AW5" i="10" s="1"/>
  <c r="AW4" i="10" a="1"/>
  <c r="AW4" i="10" s="1"/>
  <c r="AW3" i="10" a="1"/>
  <c r="AW3" i="10" s="1"/>
  <c r="AW2" i="10" a="1"/>
  <c r="AW2" i="10" s="1"/>
  <c r="S78" i="10"/>
  <c r="S77" i="10"/>
  <c r="S76" i="10"/>
  <c r="S75" i="10"/>
  <c r="S74" i="10"/>
  <c r="S73" i="10"/>
  <c r="S72" i="10"/>
  <c r="S71" i="10"/>
  <c r="AX79" i="7" a="1"/>
  <c r="AX79" i="7" s="1"/>
  <c r="AX78" i="7" a="1"/>
  <c r="AX78" i="7" s="1"/>
  <c r="AX77" i="7" a="1"/>
  <c r="AX77" i="7" s="1"/>
  <c r="AX76" i="7" a="1"/>
  <c r="AX76" i="7" s="1"/>
  <c r="AX75" i="7" a="1"/>
  <c r="AX75" i="7" s="1"/>
  <c r="AX74" i="7" a="1"/>
  <c r="AX74" i="7" s="1"/>
  <c r="AX73" i="7" a="1"/>
  <c r="AX73" i="7" s="1"/>
  <c r="AY69" i="7" a="1"/>
  <c r="AY69" i="7" s="1"/>
  <c r="AY68" i="7" a="1"/>
  <c r="AY68" i="7" s="1"/>
  <c r="AY67" i="7" a="1"/>
  <c r="AY67" i="7" s="1"/>
  <c r="AY66" i="7" a="1"/>
  <c r="AY66" i="7" s="1"/>
  <c r="AY65" i="7" a="1"/>
  <c r="AY65" i="7" s="1"/>
  <c r="AY64" i="7" a="1"/>
  <c r="AY64" i="7" s="1"/>
  <c r="AY63" i="7" a="1"/>
  <c r="AY63" i="7" s="1"/>
  <c r="AY62" i="7" a="1"/>
  <c r="AY62" i="7" s="1"/>
  <c r="AY61" i="7" a="1"/>
  <c r="AY61" i="7" s="1"/>
  <c r="AY60" i="7" a="1"/>
  <c r="AY60" i="7" s="1"/>
  <c r="AY59" i="7" a="1"/>
  <c r="AY59" i="7" s="1"/>
  <c r="AY58" i="7" a="1"/>
  <c r="AY58" i="7" s="1"/>
  <c r="AY57" i="7" a="1"/>
  <c r="AY57" i="7" s="1"/>
  <c r="AY56" i="7" a="1"/>
  <c r="AY56" i="7" s="1"/>
  <c r="AY55" i="7" a="1"/>
  <c r="AY55" i="7" s="1"/>
  <c r="AY54" i="7" a="1"/>
  <c r="AY54" i="7" s="1"/>
  <c r="AY53" i="7" a="1"/>
  <c r="AY53" i="7" s="1"/>
  <c r="AY52" i="7" a="1"/>
  <c r="AY52" i="7" s="1"/>
  <c r="AY51" i="7" a="1"/>
  <c r="AY51" i="7" s="1"/>
  <c r="AY50" i="7" a="1"/>
  <c r="AY50" i="7" s="1"/>
  <c r="AY49" i="7" a="1"/>
  <c r="AY49" i="7" s="1"/>
  <c r="AY48" i="7" a="1"/>
  <c r="AY48" i="7" s="1"/>
  <c r="AY47" i="7" a="1"/>
  <c r="AY47" i="7" s="1"/>
  <c r="AY46" i="7" a="1"/>
  <c r="AY46" i="7" s="1"/>
  <c r="AY45" i="7" a="1"/>
  <c r="AY45" i="7" s="1"/>
  <c r="AY44" i="7" a="1"/>
  <c r="AY44" i="7" s="1"/>
  <c r="AY43" i="7" a="1"/>
  <c r="AY43" i="7" s="1"/>
  <c r="AY42" i="7" a="1"/>
  <c r="AY42" i="7" s="1"/>
  <c r="AY41" i="7" a="1"/>
  <c r="AY41" i="7" s="1"/>
  <c r="AY40" i="7" a="1"/>
  <c r="AY40" i="7" s="1"/>
  <c r="AY39" i="7" a="1"/>
  <c r="AY39" i="7" s="1"/>
  <c r="AY38" i="7" a="1"/>
  <c r="AY38" i="7" s="1"/>
  <c r="AY37" i="7" a="1"/>
  <c r="AY37" i="7" s="1"/>
  <c r="AY36" i="7" a="1"/>
  <c r="AY36" i="7" s="1"/>
  <c r="AY35" i="7" a="1"/>
  <c r="AY35" i="7" s="1"/>
  <c r="AY34" i="7" a="1"/>
  <c r="AY34" i="7" s="1"/>
  <c r="AY33" i="7" a="1"/>
  <c r="AY33" i="7" s="1"/>
  <c r="AY32" i="7" a="1"/>
  <c r="AY32" i="7" s="1"/>
  <c r="AY31" i="7" a="1"/>
  <c r="AY31" i="7" s="1"/>
  <c r="AY30" i="7" a="1"/>
  <c r="AY30" i="7" s="1"/>
  <c r="AY29" i="7" a="1"/>
  <c r="AY29" i="7" s="1"/>
  <c r="AY28" i="7" a="1"/>
  <c r="AY28" i="7" s="1"/>
  <c r="AY27" i="7" a="1"/>
  <c r="AY27" i="7" s="1"/>
  <c r="AY26" i="7" a="1"/>
  <c r="AY26" i="7" s="1"/>
  <c r="AY25" i="7" a="1"/>
  <c r="AY25" i="7" s="1"/>
  <c r="AY24" i="7" a="1"/>
  <c r="AY24" i="7" s="1"/>
  <c r="AY23" i="7" a="1"/>
  <c r="AY23" i="7" s="1"/>
  <c r="AY22" i="7" a="1"/>
  <c r="AY22" i="7" s="1"/>
  <c r="AY21" i="7" a="1"/>
  <c r="AY21" i="7" s="1"/>
  <c r="AY20" i="7" a="1"/>
  <c r="AY20" i="7" s="1"/>
  <c r="AY19" i="7" a="1"/>
  <c r="AY19" i="7" s="1"/>
  <c r="AY18" i="7" a="1"/>
  <c r="AY18" i="7" s="1"/>
  <c r="AY17" i="7" a="1"/>
  <c r="AY17" i="7" s="1"/>
  <c r="AY16" i="7" a="1"/>
  <c r="AY16" i="7" s="1"/>
  <c r="AY15" i="7" a="1"/>
  <c r="AY15" i="7" s="1"/>
  <c r="AY14" i="7" a="1"/>
  <c r="AY14" i="7" s="1"/>
  <c r="AY13" i="7" a="1"/>
  <c r="AY13" i="7" s="1"/>
  <c r="AY12" i="7" a="1"/>
  <c r="AY12" i="7" s="1"/>
  <c r="AY11" i="7" a="1"/>
  <c r="AY11" i="7" s="1"/>
  <c r="AY10" i="7" a="1"/>
  <c r="AY10" i="7" s="1"/>
  <c r="AY9" i="7" a="1"/>
  <c r="AY9" i="7" s="1"/>
  <c r="AY8" i="7" a="1"/>
  <c r="AY8" i="7" s="1"/>
  <c r="AY7" i="7" a="1"/>
  <c r="AY7" i="7" s="1"/>
  <c r="AY6" i="7" a="1"/>
  <c r="AY6" i="7" s="1"/>
  <c r="AY5" i="7" a="1"/>
  <c r="AY5" i="7" s="1"/>
  <c r="AY4" i="7" a="1"/>
  <c r="AY4" i="7" s="1"/>
  <c r="AY3" i="7" a="1"/>
  <c r="AY3" i="7" s="1"/>
  <c r="AY2" i="7" a="1"/>
  <c r="AY2" i="7" s="1"/>
  <c r="AY1" i="7" a="1"/>
  <c r="AY1" i="7" s="1"/>
  <c r="AW1" i="7" a="1"/>
  <c r="AW83" i="11" a="1"/>
  <c r="AW83" i="11" s="1"/>
  <c r="AW82" i="11" a="1"/>
  <c r="AW82" i="11" s="1"/>
  <c r="AW81" i="11" a="1"/>
  <c r="AW81" i="11" s="1"/>
  <c r="AW80" i="11" a="1"/>
  <c r="AW80" i="11" s="1"/>
  <c r="AW79" i="11" a="1"/>
  <c r="AW79" i="11" s="1"/>
  <c r="AW78" i="11" a="1"/>
  <c r="AW78" i="11" s="1"/>
  <c r="AW77" i="11" a="1"/>
  <c r="AW77" i="11" s="1"/>
  <c r="AW76" i="11" a="1"/>
  <c r="AW76" i="11" s="1"/>
  <c r="AW75" i="11" a="1"/>
  <c r="AW75" i="11" s="1"/>
  <c r="AW74" i="11" a="1"/>
  <c r="AW74" i="11" s="1"/>
  <c r="AW73" i="11" a="1"/>
  <c r="AW73" i="11" s="1"/>
  <c r="AX69" i="11" a="1"/>
  <c r="AX69" i="11" s="1"/>
  <c r="AX68" i="11" a="1"/>
  <c r="AX68" i="11" s="1"/>
  <c r="AX67" i="11" a="1"/>
  <c r="AX67" i="11" s="1"/>
  <c r="AX66" i="11" a="1"/>
  <c r="AX66" i="11" s="1"/>
  <c r="AX65" i="11" a="1"/>
  <c r="AX65" i="11" s="1"/>
  <c r="AX64" i="11" a="1"/>
  <c r="AX64" i="11" s="1"/>
  <c r="AX63" i="11" a="1"/>
  <c r="AX63" i="11" s="1"/>
  <c r="AX62" i="11" a="1"/>
  <c r="AX62" i="11" s="1"/>
  <c r="AX61" i="11" a="1"/>
  <c r="AX61" i="11" s="1"/>
  <c r="AX60" i="11" a="1"/>
  <c r="AX60" i="11" s="1"/>
  <c r="AX59" i="11" a="1"/>
  <c r="AX59" i="11" s="1"/>
  <c r="AX58" i="11" a="1"/>
  <c r="AX58" i="11" s="1"/>
  <c r="AX57" i="11" a="1"/>
  <c r="AX57" i="11" s="1"/>
  <c r="AX56" i="11" a="1"/>
  <c r="AX56" i="11" s="1"/>
  <c r="AX55" i="11" a="1"/>
  <c r="AX55" i="11" s="1"/>
  <c r="AX54" i="11" a="1"/>
  <c r="AX54" i="11" s="1"/>
  <c r="AX53" i="11" a="1"/>
  <c r="AX53" i="11" s="1"/>
  <c r="AX52" i="11" a="1"/>
  <c r="AX52" i="11" s="1"/>
  <c r="AX51" i="11" a="1"/>
  <c r="AX51" i="11" s="1"/>
  <c r="AX50" i="11" a="1"/>
  <c r="AX50" i="11" s="1"/>
  <c r="AX49" i="11" a="1"/>
  <c r="AX49" i="11" s="1"/>
  <c r="AX48" i="11" a="1"/>
  <c r="AX48" i="11" s="1"/>
  <c r="AX47" i="11" a="1"/>
  <c r="AX47" i="11" s="1"/>
  <c r="AX46" i="11" a="1"/>
  <c r="AX46" i="11" s="1"/>
  <c r="AX45" i="11" a="1"/>
  <c r="AX45" i="11" s="1"/>
  <c r="AX44" i="11" a="1"/>
  <c r="AX44" i="11" s="1"/>
  <c r="AX43" i="11" a="1"/>
  <c r="AX43" i="11" s="1"/>
  <c r="AX42" i="11" a="1"/>
  <c r="AX42" i="11" s="1"/>
  <c r="AX41" i="11" a="1"/>
  <c r="AX41" i="11" s="1"/>
  <c r="AX40" i="11" a="1"/>
  <c r="AX40" i="11" s="1"/>
  <c r="AX39" i="11" a="1"/>
  <c r="AX39" i="11" s="1"/>
  <c r="AX38" i="11" a="1"/>
  <c r="AX38" i="11" s="1"/>
  <c r="AX37" i="11" a="1"/>
  <c r="AX37" i="11" s="1"/>
  <c r="AX36" i="11" a="1"/>
  <c r="AX36" i="11" s="1"/>
  <c r="AX35" i="11" a="1"/>
  <c r="AX35" i="11" s="1"/>
  <c r="AX34" i="11" a="1"/>
  <c r="AX34" i="11" s="1"/>
  <c r="AX33" i="11" a="1"/>
  <c r="AX33" i="11" s="1"/>
  <c r="AX32" i="11" a="1"/>
  <c r="AX32" i="11" s="1"/>
  <c r="AX31" i="11" a="1"/>
  <c r="AX31" i="11" s="1"/>
  <c r="AX30" i="11" a="1"/>
  <c r="AX30" i="11" s="1"/>
  <c r="AX29" i="11" a="1"/>
  <c r="AX29" i="11" s="1"/>
  <c r="AX28" i="11" a="1"/>
  <c r="AX28" i="11" s="1"/>
  <c r="AX27" i="11" a="1"/>
  <c r="AX27" i="11" s="1"/>
  <c r="AX26" i="11" a="1"/>
  <c r="AX26" i="11" s="1"/>
  <c r="AX25" i="11" a="1"/>
  <c r="AX25" i="11" s="1"/>
  <c r="AX24" i="11" a="1"/>
  <c r="AX24" i="11" s="1"/>
  <c r="AX23" i="11" a="1"/>
  <c r="AX23" i="11" s="1"/>
  <c r="AX22" i="11" a="1"/>
  <c r="AX22" i="11" s="1"/>
  <c r="AX21" i="11" a="1"/>
  <c r="AX21" i="11" s="1"/>
  <c r="AX20" i="11" a="1"/>
  <c r="AX20" i="11" s="1"/>
  <c r="AX19" i="11" a="1"/>
  <c r="AX19" i="11" s="1"/>
  <c r="AX18" i="11" a="1"/>
  <c r="AX18" i="11" s="1"/>
  <c r="AX17" i="11" a="1"/>
  <c r="AX17" i="11" s="1"/>
  <c r="AX16" i="11" a="1"/>
  <c r="AX16" i="11" s="1"/>
  <c r="AX15" i="11" a="1"/>
  <c r="AX15" i="11" s="1"/>
  <c r="AX14" i="11" a="1"/>
  <c r="AX14" i="11" s="1"/>
  <c r="AX13" i="11" a="1"/>
  <c r="AX13" i="11" s="1"/>
  <c r="AX12" i="11" a="1"/>
  <c r="AX12" i="11" s="1"/>
  <c r="AX11" i="11" a="1"/>
  <c r="AX11" i="11" s="1"/>
  <c r="AX10" i="11" a="1"/>
  <c r="AX10" i="11" s="1"/>
  <c r="AX9" i="11" a="1"/>
  <c r="AX9" i="11" s="1"/>
  <c r="AX8" i="11" a="1"/>
  <c r="AX8" i="11" s="1"/>
  <c r="AX7" i="11" a="1"/>
  <c r="AX7" i="11" s="1"/>
  <c r="AX6" i="11" a="1"/>
  <c r="AX6" i="11" s="1"/>
  <c r="AX5" i="11" a="1"/>
  <c r="AX5" i="11" s="1"/>
  <c r="AX4" i="11" a="1"/>
  <c r="AX4" i="11" s="1"/>
  <c r="AX3" i="11" a="1"/>
  <c r="AX3" i="11" s="1"/>
  <c r="AX2" i="11" a="1"/>
  <c r="AX2" i="11" s="1"/>
  <c r="AX1" i="11" a="1"/>
  <c r="AX1" i="11" s="1"/>
  <c r="AV1" i="11" a="1"/>
  <c r="AD71" i="12"/>
  <c r="AD72" i="12"/>
  <c r="AD73" i="12"/>
  <c r="S71" i="12"/>
  <c r="S72" i="12"/>
  <c r="S73" i="12"/>
  <c r="BD3" i="12" a="1"/>
  <c r="BD3" i="12" s="1"/>
  <c r="BD4" i="12" a="1"/>
  <c r="BD4" i="12" s="1"/>
  <c r="BD5" i="12" a="1"/>
  <c r="BD5" i="12" s="1"/>
  <c r="BD6" i="12" a="1"/>
  <c r="BD6" i="12" s="1"/>
  <c r="BD7" i="12" a="1"/>
  <c r="BD7" i="12" s="1"/>
  <c r="BD8" i="12" a="1"/>
  <c r="BD8" i="12" s="1"/>
  <c r="BD9" i="12" a="1"/>
  <c r="BD9" i="12" s="1"/>
  <c r="BD10" i="12" a="1"/>
  <c r="BD10" i="12" s="1"/>
  <c r="BD11" i="12" a="1"/>
  <c r="BD11" i="12" s="1"/>
  <c r="BD12" i="12" a="1"/>
  <c r="BD12" i="12" s="1"/>
  <c r="BD13" i="12" a="1"/>
  <c r="BD13" i="12" s="1"/>
  <c r="BD14" i="12" a="1"/>
  <c r="BD14" i="12" s="1"/>
  <c r="BD15" i="12" a="1"/>
  <c r="BD15" i="12" s="1"/>
  <c r="BD16" i="12" a="1"/>
  <c r="BD16" i="12" s="1"/>
  <c r="BD17" i="12" a="1"/>
  <c r="BD17" i="12" s="1"/>
  <c r="BD18" i="12" a="1"/>
  <c r="BD18" i="12" s="1"/>
  <c r="BD19" i="12" a="1"/>
  <c r="BD19" i="12" s="1"/>
  <c r="BD20" i="12" a="1"/>
  <c r="BD20" i="12" s="1"/>
  <c r="BD21" i="12" a="1"/>
  <c r="BD21" i="12" s="1"/>
  <c r="BD22" i="12" a="1"/>
  <c r="BD22" i="12" s="1"/>
  <c r="BD23" i="12" a="1"/>
  <c r="BD23" i="12" s="1"/>
  <c r="BD24" i="12" a="1"/>
  <c r="BD24" i="12" s="1"/>
  <c r="BD25" i="12" a="1"/>
  <c r="BD25" i="12" s="1"/>
  <c r="BD26" i="12" a="1"/>
  <c r="BD26" i="12" s="1"/>
  <c r="BD27" i="12" a="1"/>
  <c r="BD27" i="12" s="1"/>
  <c r="BD28" i="12" a="1"/>
  <c r="BD28" i="12" s="1"/>
  <c r="BD29" i="12" a="1"/>
  <c r="BD29" i="12" s="1"/>
  <c r="BD30" i="12" a="1"/>
  <c r="BD30" i="12" s="1"/>
  <c r="BD31" i="12" a="1"/>
  <c r="BD31" i="12" s="1"/>
  <c r="BD32" i="12" a="1"/>
  <c r="BD32" i="12" s="1"/>
  <c r="BD33" i="12" a="1"/>
  <c r="BD33" i="12" s="1"/>
  <c r="BD34" i="12" a="1"/>
  <c r="BD34" i="12" s="1"/>
  <c r="BD35" i="12" a="1"/>
  <c r="BD35" i="12" s="1"/>
  <c r="BD36" i="12" a="1"/>
  <c r="BD36" i="12" s="1"/>
  <c r="BD37" i="12" a="1"/>
  <c r="BD37" i="12" s="1"/>
  <c r="BD38" i="12" a="1"/>
  <c r="BD38" i="12" s="1"/>
  <c r="BD39" i="12" a="1"/>
  <c r="BD39" i="12" s="1"/>
  <c r="BD40" i="12" a="1"/>
  <c r="BD40" i="12" s="1"/>
  <c r="BD41" i="12" a="1"/>
  <c r="BD41" i="12" s="1"/>
  <c r="BD42" i="12" a="1"/>
  <c r="BD42" i="12" s="1"/>
  <c r="BD43" i="12" a="1"/>
  <c r="BD43" i="12" s="1"/>
  <c r="BD44" i="12" a="1"/>
  <c r="BD44" i="12" s="1"/>
  <c r="BD45" i="12" a="1"/>
  <c r="BD45" i="12" s="1"/>
  <c r="BD46" i="12" a="1"/>
  <c r="BD46" i="12" s="1"/>
  <c r="BD47" i="12" a="1"/>
  <c r="BD47" i="12" s="1"/>
  <c r="BD48" i="12" a="1"/>
  <c r="BD48" i="12" s="1"/>
  <c r="BD49" i="12" a="1"/>
  <c r="BD49" i="12" s="1"/>
  <c r="BD50" i="12" a="1"/>
  <c r="BD50" i="12" s="1"/>
  <c r="BD51" i="12" a="1"/>
  <c r="BD51" i="12" s="1"/>
  <c r="BD52" i="12" a="1"/>
  <c r="BD52" i="12" s="1"/>
  <c r="BD53" i="12" a="1"/>
  <c r="BD53" i="12" s="1"/>
  <c r="BD54" i="12" a="1"/>
  <c r="BD54" i="12" s="1"/>
  <c r="BD55" i="12" a="1"/>
  <c r="BD55" i="12" s="1"/>
  <c r="BD56" i="12" a="1"/>
  <c r="BD56" i="12" s="1"/>
  <c r="BD57" i="12" a="1"/>
  <c r="BD57" i="12" s="1"/>
  <c r="BD58" i="12" a="1"/>
  <c r="BD58" i="12" s="1"/>
  <c r="BD59" i="12" a="1"/>
  <c r="BD59" i="12" s="1"/>
  <c r="BD60" i="12" a="1"/>
  <c r="BD60" i="12" s="1"/>
  <c r="BD61" i="12" a="1"/>
  <c r="BD61" i="12" s="1"/>
  <c r="BD62" i="12" a="1"/>
  <c r="BD62" i="12" s="1"/>
  <c r="BD63" i="12" a="1"/>
  <c r="BD63" i="12" s="1"/>
  <c r="BD64" i="12" a="1"/>
  <c r="BD64" i="12" s="1"/>
  <c r="BD65" i="12" a="1"/>
  <c r="BD65" i="12" s="1"/>
  <c r="BD66" i="12" a="1"/>
  <c r="BD66" i="12" s="1"/>
  <c r="BD67" i="12" a="1"/>
  <c r="BD67" i="12" s="1"/>
  <c r="BD68" i="12" a="1"/>
  <c r="BD68" i="12" s="1"/>
  <c r="BD69" i="12" a="1"/>
  <c r="BD69" i="12" s="1"/>
  <c r="BD2" i="12" a="1"/>
  <c r="BD2" i="12" s="1"/>
  <c r="BD1" i="12" a="1"/>
  <c r="BD1" i="12" s="1"/>
  <c r="BC76" i="12" a="1"/>
  <c r="BC76" i="12" s="1"/>
  <c r="BC77" i="12" a="1"/>
  <c r="BC77" i="12" s="1"/>
  <c r="BC78" i="12" a="1"/>
  <c r="BC78" i="12" s="1"/>
  <c r="BC79" i="12" a="1"/>
  <c r="BC79" i="12" s="1"/>
  <c r="BC80" i="12" a="1"/>
  <c r="BC80" i="12" s="1"/>
  <c r="BC81" i="12" a="1"/>
  <c r="BC81" i="12" s="1"/>
  <c r="BC82" i="12" a="1"/>
  <c r="BC82" i="12" s="1"/>
  <c r="BC83" i="12" a="1"/>
  <c r="BC83" i="12" s="1"/>
  <c r="BC84" i="12" a="1"/>
  <c r="BC84" i="12" s="1"/>
  <c r="BC85" i="12" a="1"/>
  <c r="BC85" i="12" s="1"/>
  <c r="BC86" i="12" a="1"/>
  <c r="BC86" i="12" s="1"/>
  <c r="BC87" i="12" a="1"/>
  <c r="BC87" i="12" s="1"/>
  <c r="BC88" i="12" a="1"/>
  <c r="BC88" i="12" s="1"/>
  <c r="BC89" i="12" a="1"/>
  <c r="BC89" i="12" s="1"/>
  <c r="BC90" i="12" a="1"/>
  <c r="BC90" i="12" s="1"/>
  <c r="BC91" i="12" a="1"/>
  <c r="BC91" i="12" s="1"/>
  <c r="BC92" i="12" a="1"/>
  <c r="BC92" i="12" s="1"/>
  <c r="BC93" i="12" a="1"/>
  <c r="BC93" i="12" s="1"/>
  <c r="BC94" i="12" a="1"/>
  <c r="BC94" i="12" s="1"/>
  <c r="BC95" i="12" a="1"/>
  <c r="BC95" i="12" s="1"/>
  <c r="BC96" i="12" a="1"/>
  <c r="BC96" i="12" s="1"/>
  <c r="BC97" i="12" a="1"/>
  <c r="BC97" i="12" s="1"/>
  <c r="BC98" i="12" a="1"/>
  <c r="BC98" i="12" s="1"/>
  <c r="BC99" i="12" a="1"/>
  <c r="BC99" i="12" s="1"/>
  <c r="BC100" i="12" a="1"/>
  <c r="BC100" i="12" s="1"/>
  <c r="BC101" i="12" a="1"/>
  <c r="BC101" i="12" s="1"/>
  <c r="BB1" i="12" a="1"/>
  <c r="F95" i="12"/>
  <c r="G95" i="12"/>
  <c r="E95" i="12"/>
  <c r="F94" i="12"/>
  <c r="G94" i="12"/>
  <c r="E94" i="12"/>
  <c r="G4" i="12"/>
  <c r="F4" i="12"/>
  <c r="E4" i="12"/>
  <c r="E12" i="14"/>
  <c r="E15" i="13"/>
  <c r="E14" i="13"/>
  <c r="E12" i="13"/>
  <c r="W7" i="14" a="1"/>
  <c r="W7" i="14" s="1"/>
  <c r="X7" i="14" a="1"/>
  <c r="X7" i="14" s="1"/>
  <c r="W8" i="14" a="1"/>
  <c r="W8" i="14" s="1"/>
  <c r="X8" i="14" a="1"/>
  <c r="X8" i="14" s="1"/>
  <c r="W9" i="14" a="1"/>
  <c r="W9" i="14" s="1"/>
  <c r="X9" i="14" a="1"/>
  <c r="X9" i="14" s="1"/>
  <c r="W2" i="14" a="1"/>
  <c r="W2" i="14" s="1"/>
  <c r="W3" i="14" a="1"/>
  <c r="W3" i="14" s="1"/>
  <c r="W4" i="14" a="1"/>
  <c r="W4" i="14" s="1"/>
  <c r="W5" i="14" a="1"/>
  <c r="W5" i="14" s="1"/>
  <c r="W6" i="14" a="1"/>
  <c r="W6" i="14" s="1"/>
  <c r="X3" i="14" a="1"/>
  <c r="X3" i="14" s="1"/>
  <c r="X4" i="14" a="1"/>
  <c r="X4" i="14" s="1"/>
  <c r="X5" i="14" a="1"/>
  <c r="X5" i="14" s="1"/>
  <c r="X6" i="14" a="1"/>
  <c r="X6" i="14" s="1"/>
  <c r="AH5" i="14" l="1" a="1"/>
  <c r="AH5" i="14" s="1"/>
  <c r="AH4" i="14" a="1"/>
  <c r="AH4" i="14" s="1"/>
  <c r="AH2" i="14" a="1"/>
  <c r="AH2" i="14" s="1"/>
  <c r="AH8" i="14" a="1"/>
  <c r="AH8" i="14" s="1"/>
  <c r="AH6" i="14" a="1"/>
  <c r="AH6" i="14" s="1"/>
  <c r="AH9" i="14" a="1"/>
  <c r="AH9" i="14" s="1"/>
  <c r="AH3" i="14" a="1"/>
  <c r="AH3" i="14" s="1"/>
  <c r="AH7" i="14" a="1"/>
  <c r="AH7" i="14" s="1"/>
  <c r="AG3" i="14" a="1"/>
  <c r="AG3" i="14" s="1"/>
  <c r="AG5" i="14" a="1"/>
  <c r="AG5" i="14" s="1"/>
  <c r="AG9" i="14" a="1"/>
  <c r="AG9" i="14" s="1"/>
  <c r="AG7" i="14" a="1"/>
  <c r="AG7" i="14" s="1"/>
  <c r="AG2" i="14" a="1"/>
  <c r="AG2" i="14" s="1"/>
  <c r="AG4" i="14" a="1"/>
  <c r="AG4" i="14" s="1"/>
  <c r="AG6" i="14" a="1"/>
  <c r="AG6" i="14" s="1"/>
  <c r="AG8" i="14" a="1"/>
  <c r="AG8" i="14" s="1"/>
  <c r="AV74" i="10" a="1"/>
  <c r="AV74" i="10" s="1"/>
  <c r="AY11" i="10" a="1"/>
  <c r="AY11" i="10" s="1"/>
  <c r="AK12" i="10" s="1"/>
  <c r="AY9" i="10" a="1"/>
  <c r="AY9" i="10" s="1"/>
  <c r="AK10" i="10" s="1"/>
  <c r="AY10" i="10" a="1"/>
  <c r="AY10" i="10" s="1"/>
  <c r="AK11" i="10" s="1"/>
  <c r="AY12" i="10" a="1"/>
  <c r="AY12" i="10" s="1"/>
  <c r="AK13" i="10" s="1"/>
  <c r="AY5" i="10" a="1"/>
  <c r="AY5" i="10" s="1"/>
  <c r="AK6" i="10" s="1"/>
  <c r="AY13" i="10" a="1"/>
  <c r="AY13" i="10" s="1"/>
  <c r="AK14" i="10" s="1"/>
  <c r="AY6" i="10" a="1"/>
  <c r="AY6" i="10" s="1"/>
  <c r="AK7" i="10" s="1"/>
  <c r="AY14" i="10" a="1"/>
  <c r="AY14" i="10" s="1"/>
  <c r="AK15" i="10" s="1"/>
  <c r="AY7" i="10" a="1"/>
  <c r="AY7" i="10" s="1"/>
  <c r="AK8" i="10" s="1"/>
  <c r="AY8" i="10" a="1"/>
  <c r="AY8" i="10" s="1"/>
  <c r="AK9" i="10" s="1"/>
  <c r="AY3" i="10" a="1"/>
  <c r="AY3" i="10" s="1"/>
  <c r="AK4" i="10" s="1"/>
  <c r="AY4" i="10" a="1"/>
  <c r="AY4" i="10" s="1"/>
  <c r="AK5" i="10" s="1"/>
  <c r="BA10" i="7" a="1"/>
  <c r="BA10" i="7" s="1"/>
  <c r="AK11" i="7" s="1"/>
  <c r="BA11" i="7" a="1"/>
  <c r="BA11" i="7" s="1"/>
  <c r="AK12" i="7" s="1"/>
  <c r="BA12" i="7" a="1"/>
  <c r="BA12" i="7" s="1"/>
  <c r="AK13" i="7" s="1"/>
  <c r="BA19" i="7" a="1"/>
  <c r="BA19" i="7" s="1"/>
  <c r="AK20" i="7" s="1"/>
  <c r="BA13" i="7" a="1"/>
  <c r="BA13" i="7" s="1"/>
  <c r="AK14" i="7" s="1"/>
  <c r="BA14" i="7" a="1"/>
  <c r="BA14" i="7" s="1"/>
  <c r="AK15" i="7" s="1"/>
  <c r="BA20" i="7" a="1"/>
  <c r="BA20" i="7" s="1"/>
  <c r="AK21" i="7" s="1"/>
  <c r="BA15" i="7" a="1"/>
  <c r="BA15" i="7" s="1"/>
  <c r="AK16" i="7" s="1"/>
  <c r="BA8" i="7" a="1"/>
  <c r="BA8" i="7" s="1"/>
  <c r="AK9" i="7" s="1"/>
  <c r="BA3" i="7" a="1"/>
  <c r="BA3" i="7" s="1"/>
  <c r="AK4" i="7" s="1"/>
  <c r="BA16" i="7" a="1"/>
  <c r="BA16" i="7" s="1"/>
  <c r="AK17" i="7" s="1"/>
  <c r="BA4" i="7" a="1"/>
  <c r="BA4" i="7" s="1"/>
  <c r="AK5" i="7" s="1"/>
  <c r="BA17" i="7" a="1"/>
  <c r="BA17" i="7" s="1"/>
  <c r="AK18" i="7" s="1"/>
  <c r="BA5" i="7" a="1"/>
  <c r="BA5" i="7" s="1"/>
  <c r="AK6" i="7" s="1"/>
  <c r="BA6" i="7" a="1"/>
  <c r="BA6" i="7" s="1"/>
  <c r="AK7" i="7" s="1"/>
  <c r="BA18" i="7" a="1"/>
  <c r="BA18" i="7" s="1"/>
  <c r="AK19" i="7" s="1"/>
  <c r="BA7" i="7" a="1"/>
  <c r="BA7" i="7" s="1"/>
  <c r="AK8" i="7" s="1"/>
  <c r="BA9" i="7" a="1"/>
  <c r="BA9" i="7" s="1"/>
  <c r="AK10" i="7" s="1"/>
  <c r="AZ23" i="11" a="1"/>
  <c r="AZ23" i="11" s="1"/>
  <c r="AK24" i="11" s="1"/>
  <c r="AZ20" i="11" a="1"/>
  <c r="AZ20" i="11" s="1"/>
  <c r="AK21" i="11" s="1"/>
  <c r="AZ17" i="11" a="1"/>
  <c r="AZ17" i="11" s="1"/>
  <c r="AK18" i="11" s="1"/>
  <c r="AZ24" i="11" a="1"/>
  <c r="AZ24" i="11" s="1"/>
  <c r="AK25" i="11" s="1"/>
  <c r="AZ21" i="11" a="1"/>
  <c r="AZ21" i="11" s="1"/>
  <c r="AK22" i="11" s="1"/>
  <c r="AZ11" i="11" a="1"/>
  <c r="AZ11" i="11" s="1"/>
  <c r="AK12" i="11" s="1"/>
  <c r="AZ18" i="11" a="1"/>
  <c r="AZ18" i="11" s="1"/>
  <c r="AK19" i="11" s="1"/>
  <c r="AZ25" i="11" a="1"/>
  <c r="AZ25" i="11" s="1"/>
  <c r="AK26" i="11" s="1"/>
  <c r="AZ12" i="11" a="1"/>
  <c r="AZ12" i="11" s="1"/>
  <c r="AK13" i="11" s="1"/>
  <c r="AZ22" i="11" a="1"/>
  <c r="AZ22" i="11" s="1"/>
  <c r="AK23" i="11" s="1"/>
  <c r="AZ26" i="11" a="1"/>
  <c r="AZ26" i="11" s="1"/>
  <c r="AK27" i="11" s="1"/>
  <c r="AZ13" i="11" a="1"/>
  <c r="AZ13" i="11" s="1"/>
  <c r="AK14" i="11" s="1"/>
  <c r="AZ3" i="11" a="1"/>
  <c r="AZ3" i="11" s="1"/>
  <c r="AK4" i="11" s="1"/>
  <c r="AZ4" i="11" a="1"/>
  <c r="AZ4" i="11" s="1"/>
  <c r="AK5" i="11" s="1"/>
  <c r="AZ7" i="11" a="1"/>
  <c r="AZ7" i="11" s="1"/>
  <c r="AK8" i="11" s="1"/>
  <c r="AZ14" i="11" a="1"/>
  <c r="AZ14" i="11" s="1"/>
  <c r="AK15" i="11" s="1"/>
  <c r="AZ5" i="11" a="1"/>
  <c r="AZ5" i="11" s="1"/>
  <c r="AK6" i="11" s="1"/>
  <c r="AZ9" i="11" a="1"/>
  <c r="AZ9" i="11" s="1"/>
  <c r="AK10" i="11" s="1"/>
  <c r="AZ6" i="11" a="1"/>
  <c r="AZ6" i="11" s="1"/>
  <c r="AK7" i="11" s="1"/>
  <c r="AZ27" i="11" a="1"/>
  <c r="AZ27" i="11" s="1"/>
  <c r="AK28" i="11" s="1"/>
  <c r="AZ8" i="11" a="1"/>
  <c r="AZ8" i="11" s="1"/>
  <c r="AK9" i="11" s="1"/>
  <c r="AZ28" i="11" a="1"/>
  <c r="AZ28" i="11" s="1"/>
  <c r="AK29" i="11" s="1"/>
  <c r="AZ15" i="11" a="1"/>
  <c r="AZ15" i="11" s="1"/>
  <c r="AK16" i="11" s="1"/>
  <c r="AZ19" i="11" a="1"/>
  <c r="AZ19" i="11" s="1"/>
  <c r="AK20" i="11" s="1"/>
  <c r="AZ10" i="11" a="1"/>
  <c r="AZ10" i="11" s="1"/>
  <c r="AK11" i="11" s="1"/>
  <c r="AZ16" i="11" a="1"/>
  <c r="AZ16" i="11" s="1"/>
  <c r="AK17" i="11" s="1"/>
  <c r="BC73" i="12" a="1"/>
  <c r="BC73" i="12" s="1"/>
  <c r="BF42" i="12" a="1"/>
  <c r="BF42" i="12" s="1"/>
  <c r="AM43" i="12" s="1"/>
  <c r="BF41" i="12" a="1"/>
  <c r="BF41" i="12" s="1"/>
  <c r="AM42" i="12" s="1"/>
  <c r="BF29" i="12" a="1"/>
  <c r="BF29" i="12" s="1"/>
  <c r="AM30" i="12" s="1"/>
  <c r="BF7" i="12" a="1"/>
  <c r="BF7" i="12" s="1"/>
  <c r="AM8" i="12" s="1"/>
  <c r="BF43" i="12" a="1"/>
  <c r="BF43" i="12" s="1"/>
  <c r="AM44" i="12" s="1"/>
  <c r="BF33" i="12" a="1"/>
  <c r="BF33" i="12" s="1"/>
  <c r="AM34" i="12" s="1"/>
  <c r="BF30" i="12" a="1"/>
  <c r="BF30" i="12" s="1"/>
  <c r="AM31" i="12" s="1"/>
  <c r="BF15" i="12" a="1"/>
  <c r="BF15" i="12" s="1"/>
  <c r="AM16" i="12" s="1"/>
  <c r="BF44" i="12" a="1"/>
  <c r="BF44" i="12" s="1"/>
  <c r="AM45" i="12" s="1"/>
  <c r="BF34" i="12" a="1"/>
  <c r="BF34" i="12" s="1"/>
  <c r="AM35" i="12" s="1"/>
  <c r="BF11" i="12" a="1"/>
  <c r="BF11" i="12" s="1"/>
  <c r="AM12" i="12" s="1"/>
  <c r="BF8" i="12" a="1"/>
  <c r="BF8" i="12" s="1"/>
  <c r="AM9" i="12" s="1"/>
  <c r="BF10" i="12" a="1"/>
  <c r="BF10" i="12" s="1"/>
  <c r="AM11" i="12" s="1"/>
  <c r="BF28" i="12" a="1"/>
  <c r="BF28" i="12" s="1"/>
  <c r="AM29" i="12" s="1"/>
  <c r="BF45" i="12" a="1"/>
  <c r="BF45" i="12" s="1"/>
  <c r="AM46" i="12" s="1"/>
  <c r="BF35" i="12" a="1"/>
  <c r="BF35" i="12" s="1"/>
  <c r="AM36" i="12" s="1"/>
  <c r="BF12" i="12" a="1"/>
  <c r="BF12" i="12" s="1"/>
  <c r="AM13" i="12" s="1"/>
  <c r="BF46" i="12" a="1"/>
  <c r="BF46" i="12" s="1"/>
  <c r="AM47" i="12" s="1"/>
  <c r="BF31" i="12" a="1"/>
  <c r="BF31" i="12" s="1"/>
  <c r="AM32" i="12" s="1"/>
  <c r="BF13" i="12" a="1"/>
  <c r="BF13" i="12" s="1"/>
  <c r="AM14" i="12" s="1"/>
  <c r="BF9" i="12" a="1"/>
  <c r="BF9" i="12" s="1"/>
  <c r="AM10" i="12" s="1"/>
  <c r="BF47" i="12" a="1"/>
  <c r="BF47" i="12" s="1"/>
  <c r="AM48" i="12" s="1"/>
  <c r="BF32" i="12" a="1"/>
  <c r="BF32" i="12" s="1"/>
  <c r="AM33" i="12" s="1"/>
  <c r="BF14" i="12" a="1"/>
  <c r="BF14" i="12" s="1"/>
  <c r="AM15" i="12" s="1"/>
  <c r="BF40" i="12" a="1"/>
  <c r="BF40" i="12" s="1"/>
  <c r="AM41" i="12" s="1"/>
  <c r="BF20" i="12" a="1"/>
  <c r="BF20" i="12" s="1"/>
  <c r="AM21" i="12" s="1"/>
  <c r="BF48" i="12" a="1"/>
  <c r="BF48" i="12" s="1"/>
  <c r="AM49" i="12" s="1"/>
  <c r="BF21" i="12" a="1"/>
  <c r="BF21" i="12" s="1"/>
  <c r="AM22" i="12" s="1"/>
  <c r="BF16" i="12" a="1"/>
  <c r="BF16" i="12" s="1"/>
  <c r="AM17" i="12" s="1"/>
  <c r="BF22" i="12" a="1"/>
  <c r="BF22" i="12" s="1"/>
  <c r="AM23" i="12" s="1"/>
  <c r="BF17" i="12" a="1"/>
  <c r="BF17" i="12" s="1"/>
  <c r="AM18" i="12" s="1"/>
  <c r="BF23" i="12" a="1"/>
  <c r="BF23" i="12" s="1"/>
  <c r="AM24" i="12" s="1"/>
  <c r="BF18" i="12" a="1"/>
  <c r="BF18" i="12" s="1"/>
  <c r="AM19" i="12" s="1"/>
  <c r="BF24" i="12" a="1"/>
  <c r="BF24" i="12" s="1"/>
  <c r="AM25" i="12" s="1"/>
  <c r="BF19" i="12" a="1"/>
  <c r="BF19" i="12" s="1"/>
  <c r="AM20" i="12" s="1"/>
  <c r="BF36" i="12" a="1"/>
  <c r="BF36" i="12" s="1"/>
  <c r="AM37" i="12" s="1"/>
  <c r="BF25" i="12" a="1"/>
  <c r="BF25" i="12" s="1"/>
  <c r="AM26" i="12" s="1"/>
  <c r="BF37" i="12" a="1"/>
  <c r="BF37" i="12" s="1"/>
  <c r="AM38" i="12" s="1"/>
  <c r="BF26" i="12" a="1"/>
  <c r="BF26" i="12" s="1"/>
  <c r="AM27" i="12" s="1"/>
  <c r="BF3" i="12" a="1"/>
  <c r="BF3" i="12" s="1"/>
  <c r="AM4" i="12" s="1"/>
  <c r="BF38" i="12" a="1"/>
  <c r="BF38" i="12" s="1"/>
  <c r="AM39" i="12" s="1"/>
  <c r="BF4" i="12" a="1"/>
  <c r="BF4" i="12" s="1"/>
  <c r="AM5" i="12" s="1"/>
  <c r="BF6" i="12" a="1"/>
  <c r="BF6" i="12" s="1"/>
  <c r="AM7" i="12" s="1"/>
  <c r="BF39" i="12" a="1"/>
  <c r="BF39" i="12" s="1"/>
  <c r="AM40" i="12" s="1"/>
  <c r="BF27" i="12" a="1"/>
  <c r="BF27" i="12" s="1"/>
  <c r="AM28" i="12" s="1"/>
  <c r="BF5" i="12" a="1"/>
  <c r="BF5" i="12" s="1"/>
  <c r="AM6" i="12" s="1"/>
  <c r="AO3" i="13"/>
  <c r="AN3" i="13" s="1"/>
  <c r="AP3" i="13"/>
  <c r="U3" i="13"/>
  <c r="AE3" i="13" s="1"/>
  <c r="V3" i="13"/>
  <c r="AF3" i="13" s="1"/>
  <c r="U5" i="14"/>
  <c r="AE4" i="14" s="1"/>
  <c r="V5" i="14"/>
  <c r="AF4" i="14" s="1"/>
  <c r="AV14" i="10" a="1"/>
  <c r="AV14" i="10" s="1"/>
  <c r="AV22" i="10" a="1"/>
  <c r="AV22" i="10" s="1"/>
  <c r="AV9" i="10" a="1"/>
  <c r="AV9" i="10" s="1"/>
  <c r="AV30" i="10" a="1"/>
  <c r="AV30" i="10" s="1"/>
  <c r="AV10" i="10" a="1"/>
  <c r="AV10" i="10" s="1"/>
  <c r="AV18" i="10" a="1"/>
  <c r="AV18" i="10" s="1"/>
  <c r="AV5" i="10" a="1"/>
  <c r="AV5" i="10" s="1"/>
  <c r="AV26" i="10" a="1"/>
  <c r="AV26" i="10" s="1"/>
  <c r="AV6" i="10" a="1"/>
  <c r="AV6" i="10" s="1"/>
  <c r="BC75" i="12" a="1"/>
  <c r="BC75" i="12" s="1"/>
  <c r="BC74" i="12" a="1"/>
  <c r="BC74" i="12" s="1"/>
  <c r="AV75" i="10" a="1"/>
  <c r="AV75" i="10" s="1"/>
  <c r="R76" i="10" s="1"/>
  <c r="AV76" i="10" a="1"/>
  <c r="AV76" i="10" s="1"/>
  <c r="AV21" i="10" a="1"/>
  <c r="AV21" i="10" s="1"/>
  <c r="AV29" i="10" a="1"/>
  <c r="AV29" i="10" s="1"/>
  <c r="AV41" i="10" a="1"/>
  <c r="AV41" i="10" s="1"/>
  <c r="AV53" i="10" a="1"/>
  <c r="AV53" i="10" s="1"/>
  <c r="AV65" i="10" a="1"/>
  <c r="AV65" i="10" s="1"/>
  <c r="AV13" i="10" a="1"/>
  <c r="AV13" i="10" s="1"/>
  <c r="AV25" i="10" a="1"/>
  <c r="AV25" i="10" s="1"/>
  <c r="AV33" i="10" a="1"/>
  <c r="AV33" i="10" s="1"/>
  <c r="AV45" i="10" a="1"/>
  <c r="AV45" i="10" s="1"/>
  <c r="AV49" i="10" a="1"/>
  <c r="AV49" i="10" s="1"/>
  <c r="AV57" i="10" a="1"/>
  <c r="AV57" i="10" s="1"/>
  <c r="AV69" i="10" a="1"/>
  <c r="AV69" i="10" s="1"/>
  <c r="AV77" i="10" a="1"/>
  <c r="AV77" i="10" s="1"/>
  <c r="AV17" i="10" a="1"/>
  <c r="AV17" i="10" s="1"/>
  <c r="AV37" i="10" a="1"/>
  <c r="AV37" i="10" s="1"/>
  <c r="AV61" i="10" a="1"/>
  <c r="AV61" i="10" s="1"/>
  <c r="AV66" i="10" a="1"/>
  <c r="AV66" i="10" s="1"/>
  <c r="AV70" i="10" a="1"/>
  <c r="AV70" i="10" s="1"/>
  <c r="AV78" i="10" a="1"/>
  <c r="AV78" i="10" s="1"/>
  <c r="AV34" i="10" a="1"/>
  <c r="AV34" i="10" s="1"/>
  <c r="AV38" i="10" a="1"/>
  <c r="AV38" i="10" s="1"/>
  <c r="AV42" i="10" a="1"/>
  <c r="AV42" i="10" s="1"/>
  <c r="AV46" i="10" a="1"/>
  <c r="AV46" i="10" s="1"/>
  <c r="AV50" i="10" a="1"/>
  <c r="AV50" i="10" s="1"/>
  <c r="AV54" i="10" a="1"/>
  <c r="AV54" i="10" s="1"/>
  <c r="AV58" i="10" a="1"/>
  <c r="AV58" i="10" s="1"/>
  <c r="AV62" i="10" a="1"/>
  <c r="AV62" i="10" s="1"/>
  <c r="AU1" i="10"/>
  <c r="AV71" i="10" a="1"/>
  <c r="AV71" i="10" s="1"/>
  <c r="AV19" i="10" a="1"/>
  <c r="AV19" i="10" s="1"/>
  <c r="AV23" i="10" a="1"/>
  <c r="AV23" i="10" s="1"/>
  <c r="AV39" i="10" a="1"/>
  <c r="AV39" i="10" s="1"/>
  <c r="AV47" i="10" a="1"/>
  <c r="AV47" i="10" s="1"/>
  <c r="AV51" i="10" a="1"/>
  <c r="AV51" i="10" s="1"/>
  <c r="AV55" i="10" a="1"/>
  <c r="AV55" i="10" s="1"/>
  <c r="AV59" i="10" a="1"/>
  <c r="AV59" i="10" s="1"/>
  <c r="AV63" i="10" a="1"/>
  <c r="AV63" i="10" s="1"/>
  <c r="AV67" i="10" a="1"/>
  <c r="AV67" i="10" s="1"/>
  <c r="AV72" i="10" a="1"/>
  <c r="AV72" i="10" s="1"/>
  <c r="AV7" i="10" a="1"/>
  <c r="AV7" i="10" s="1"/>
  <c r="AV43" i="10" a="1"/>
  <c r="AV43" i="10" s="1"/>
  <c r="AV11" i="10" a="1"/>
  <c r="AV11" i="10" s="1"/>
  <c r="AV31" i="10" a="1"/>
  <c r="AV31" i="10" s="1"/>
  <c r="AV73" i="10" a="1"/>
  <c r="AV73" i="10" s="1"/>
  <c r="AV35" i="10" a="1"/>
  <c r="AV35" i="10" s="1"/>
  <c r="AV15" i="10" a="1"/>
  <c r="AV15" i="10" s="1"/>
  <c r="AV27" i="10" a="1"/>
  <c r="AV27" i="10" s="1"/>
  <c r="AV4" i="10" a="1"/>
  <c r="AV4" i="10" s="1"/>
  <c r="AV8" i="10" a="1"/>
  <c r="AV8" i="10" s="1"/>
  <c r="AV12" i="10" a="1"/>
  <c r="AV12" i="10" s="1"/>
  <c r="AV16" i="10" a="1"/>
  <c r="AV16" i="10" s="1"/>
  <c r="AV20" i="10" a="1"/>
  <c r="AV20" i="10" s="1"/>
  <c r="AV24" i="10" a="1"/>
  <c r="AV24" i="10" s="1"/>
  <c r="AV28" i="10" a="1"/>
  <c r="AV28" i="10" s="1"/>
  <c r="AV32" i="10" a="1"/>
  <c r="AV32" i="10" s="1"/>
  <c r="AV36" i="10" a="1"/>
  <c r="AV36" i="10" s="1"/>
  <c r="AV40" i="10" a="1"/>
  <c r="AV40" i="10" s="1"/>
  <c r="AV44" i="10" a="1"/>
  <c r="AV44" i="10" s="1"/>
  <c r="AV48" i="10" a="1"/>
  <c r="AV48" i="10" s="1"/>
  <c r="AV52" i="10" a="1"/>
  <c r="AV52" i="10" s="1"/>
  <c r="AV56" i="10" a="1"/>
  <c r="AV56" i="10" s="1"/>
  <c r="AV60" i="10" a="1"/>
  <c r="AV60" i="10" s="1"/>
  <c r="AV64" i="10" a="1"/>
  <c r="AV64" i="10" s="1"/>
  <c r="AV68" i="10" a="1"/>
  <c r="AV68" i="10" s="1"/>
  <c r="AB2" i="10"/>
  <c r="AH2" i="10" s="1"/>
  <c r="S2" i="10"/>
  <c r="AB3" i="10"/>
  <c r="AH3" i="10" s="1"/>
  <c r="S3" i="10"/>
  <c r="AB4" i="10"/>
  <c r="AH4" i="10" s="1"/>
  <c r="S4" i="10"/>
  <c r="AB5" i="10"/>
  <c r="AH5" i="10" s="1"/>
  <c r="S5" i="10"/>
  <c r="AB6" i="10"/>
  <c r="AH6" i="10" s="1"/>
  <c r="S6" i="10"/>
  <c r="AB7" i="10"/>
  <c r="AH7" i="10" s="1"/>
  <c r="S7" i="10"/>
  <c r="AB8" i="10"/>
  <c r="AH8" i="10" s="1"/>
  <c r="S8" i="10"/>
  <c r="AB9" i="10"/>
  <c r="AH9" i="10" s="1"/>
  <c r="S9" i="10"/>
  <c r="AB10" i="10"/>
  <c r="AH10" i="10" s="1"/>
  <c r="S10" i="10"/>
  <c r="AB11" i="10"/>
  <c r="AH11" i="10" s="1"/>
  <c r="S11" i="10"/>
  <c r="AB12" i="10"/>
  <c r="AH12" i="10" s="1"/>
  <c r="S12" i="10"/>
  <c r="AB13" i="10"/>
  <c r="AH13" i="10" s="1"/>
  <c r="S13" i="10"/>
  <c r="AB14" i="10"/>
  <c r="AH14" i="10" s="1"/>
  <c r="S14" i="10"/>
  <c r="AB15" i="10"/>
  <c r="AH15" i="10" s="1"/>
  <c r="S15" i="10"/>
  <c r="AB16" i="10"/>
  <c r="AH16" i="10" s="1"/>
  <c r="S16" i="10"/>
  <c r="AB17" i="10"/>
  <c r="AH17" i="10" s="1"/>
  <c r="S17" i="10"/>
  <c r="AB18" i="10"/>
  <c r="AH18" i="10" s="1"/>
  <c r="S18" i="10"/>
  <c r="AB19" i="10"/>
  <c r="AH19" i="10" s="1"/>
  <c r="S19" i="10"/>
  <c r="AB20" i="10"/>
  <c r="AH20" i="10" s="1"/>
  <c r="S20" i="10"/>
  <c r="AB21" i="10"/>
  <c r="AH21" i="10" s="1"/>
  <c r="S21" i="10"/>
  <c r="AB22" i="10"/>
  <c r="AH22" i="10" s="1"/>
  <c r="S22" i="10"/>
  <c r="AB23" i="10"/>
  <c r="AH23" i="10" s="1"/>
  <c r="S23" i="10"/>
  <c r="AB24" i="10"/>
  <c r="AH24" i="10" s="1"/>
  <c r="S24" i="10"/>
  <c r="AB25" i="10"/>
  <c r="AH25" i="10" s="1"/>
  <c r="S25" i="10"/>
  <c r="AB26" i="10"/>
  <c r="AH26" i="10" s="1"/>
  <c r="S26" i="10"/>
  <c r="AB27" i="10"/>
  <c r="AH27" i="10" s="1"/>
  <c r="S27" i="10"/>
  <c r="AB28" i="10"/>
  <c r="AH28" i="10" s="1"/>
  <c r="S28" i="10"/>
  <c r="AB29" i="10"/>
  <c r="AH29" i="10" s="1"/>
  <c r="S29" i="10"/>
  <c r="AB30" i="10"/>
  <c r="AH30" i="10" s="1"/>
  <c r="S30" i="10"/>
  <c r="AB31" i="10"/>
  <c r="AH31" i="10" s="1"/>
  <c r="S31" i="10"/>
  <c r="AB32" i="10"/>
  <c r="AH32" i="10" s="1"/>
  <c r="S32" i="10"/>
  <c r="AB33" i="10"/>
  <c r="AH33" i="10" s="1"/>
  <c r="S33" i="10"/>
  <c r="AB34" i="10"/>
  <c r="AH34" i="10" s="1"/>
  <c r="S34" i="10"/>
  <c r="AB35" i="10"/>
  <c r="AH35" i="10" s="1"/>
  <c r="S35" i="10"/>
  <c r="AB36" i="10"/>
  <c r="AH36" i="10" s="1"/>
  <c r="S36" i="10"/>
  <c r="AB37" i="10"/>
  <c r="AH37" i="10" s="1"/>
  <c r="S37" i="10"/>
  <c r="AB38" i="10"/>
  <c r="AH38" i="10" s="1"/>
  <c r="S38" i="10"/>
  <c r="AB39" i="10"/>
  <c r="AH39" i="10" s="1"/>
  <c r="S39" i="10"/>
  <c r="AB40" i="10"/>
  <c r="AH40" i="10" s="1"/>
  <c r="S40" i="10"/>
  <c r="AB41" i="10"/>
  <c r="AH41" i="10" s="1"/>
  <c r="S41" i="10"/>
  <c r="AB42" i="10"/>
  <c r="AH42" i="10" s="1"/>
  <c r="S42" i="10"/>
  <c r="AB43" i="10"/>
  <c r="AH43" i="10" s="1"/>
  <c r="S43" i="10"/>
  <c r="AB44" i="10"/>
  <c r="AH44" i="10" s="1"/>
  <c r="S44" i="10"/>
  <c r="AB45" i="10"/>
  <c r="AH45" i="10" s="1"/>
  <c r="S45" i="10"/>
  <c r="AB46" i="10"/>
  <c r="AH46" i="10" s="1"/>
  <c r="S46" i="10"/>
  <c r="AB47" i="10"/>
  <c r="AH47" i="10" s="1"/>
  <c r="S47" i="10"/>
  <c r="AB48" i="10"/>
  <c r="AH48" i="10" s="1"/>
  <c r="S48" i="10"/>
  <c r="AB49" i="10"/>
  <c r="AH49" i="10" s="1"/>
  <c r="S49" i="10"/>
  <c r="AB50" i="10"/>
  <c r="AH50" i="10" s="1"/>
  <c r="S50" i="10"/>
  <c r="AB51" i="10"/>
  <c r="AH51" i="10" s="1"/>
  <c r="S51" i="10"/>
  <c r="AB52" i="10"/>
  <c r="AH52" i="10" s="1"/>
  <c r="S52" i="10"/>
  <c r="AB53" i="10"/>
  <c r="AH53" i="10" s="1"/>
  <c r="S53" i="10"/>
  <c r="AB54" i="10"/>
  <c r="AH54" i="10" s="1"/>
  <c r="S54" i="10"/>
  <c r="AB55" i="10"/>
  <c r="AH55" i="10" s="1"/>
  <c r="S55" i="10"/>
  <c r="AB56" i="10"/>
  <c r="AH56" i="10" s="1"/>
  <c r="S56" i="10"/>
  <c r="AB57" i="10"/>
  <c r="AH57" i="10" s="1"/>
  <c r="S57" i="10"/>
  <c r="AB58" i="10"/>
  <c r="AH58" i="10" s="1"/>
  <c r="S58" i="10"/>
  <c r="AB59" i="10"/>
  <c r="AH59" i="10" s="1"/>
  <c r="S59" i="10"/>
  <c r="AB60" i="10"/>
  <c r="AH60" i="10" s="1"/>
  <c r="S60" i="10"/>
  <c r="AB61" i="10"/>
  <c r="AH61" i="10" s="1"/>
  <c r="S61" i="10"/>
  <c r="S62" i="10"/>
  <c r="S63" i="10"/>
  <c r="S64" i="10"/>
  <c r="S65" i="10"/>
  <c r="S66" i="10"/>
  <c r="S67" i="10"/>
  <c r="S68" i="10"/>
  <c r="S69" i="10"/>
  <c r="S70" i="10"/>
  <c r="R75" i="10"/>
  <c r="AX34" i="7" a="1"/>
  <c r="AX34" i="7" s="1"/>
  <c r="AX35" i="7" a="1"/>
  <c r="AX35" i="7" s="1"/>
  <c r="AX36" i="7" a="1"/>
  <c r="AX36" i="7" s="1"/>
  <c r="AX72" i="7" a="1"/>
  <c r="AX72" i="7" s="1"/>
  <c r="AX71" i="7" a="1"/>
  <c r="AX71" i="7" s="1"/>
  <c r="AX70" i="7" a="1"/>
  <c r="AX70" i="7" s="1"/>
  <c r="AX69" i="7" a="1"/>
  <c r="AX69" i="7" s="1"/>
  <c r="AX68" i="7" a="1"/>
  <c r="AX68" i="7" s="1"/>
  <c r="AX67" i="7" a="1"/>
  <c r="AX67" i="7" s="1"/>
  <c r="AX66" i="7" a="1"/>
  <c r="AX66" i="7" s="1"/>
  <c r="AX65" i="7" a="1"/>
  <c r="AX65" i="7" s="1"/>
  <c r="AX64" i="7" a="1"/>
  <c r="AX64" i="7" s="1"/>
  <c r="AX63" i="7" a="1"/>
  <c r="AX63" i="7" s="1"/>
  <c r="AX62" i="7" a="1"/>
  <c r="AX62" i="7" s="1"/>
  <c r="AX61" i="7" a="1"/>
  <c r="AX61" i="7" s="1"/>
  <c r="AX60" i="7" a="1"/>
  <c r="AX60" i="7" s="1"/>
  <c r="AX59" i="7" a="1"/>
  <c r="AX59" i="7" s="1"/>
  <c r="AX58" i="7" a="1"/>
  <c r="AX58" i="7" s="1"/>
  <c r="AX57" i="7" a="1"/>
  <c r="AX57" i="7" s="1"/>
  <c r="AX56" i="7" a="1"/>
  <c r="AX56" i="7" s="1"/>
  <c r="AX55" i="7" a="1"/>
  <c r="AX55" i="7" s="1"/>
  <c r="AX54" i="7" a="1"/>
  <c r="AX54" i="7" s="1"/>
  <c r="AX53" i="7" a="1"/>
  <c r="AX53" i="7" s="1"/>
  <c r="AX52" i="7" a="1"/>
  <c r="AX52" i="7" s="1"/>
  <c r="AX51" i="7" a="1"/>
  <c r="AX51" i="7" s="1"/>
  <c r="AX50" i="7" a="1"/>
  <c r="AX50" i="7" s="1"/>
  <c r="AX49" i="7" a="1"/>
  <c r="AX49" i="7" s="1"/>
  <c r="AX48" i="7" a="1"/>
  <c r="AX48" i="7" s="1"/>
  <c r="AX47" i="7" a="1"/>
  <c r="AX47" i="7" s="1"/>
  <c r="AX46" i="7" a="1"/>
  <c r="AX46" i="7" s="1"/>
  <c r="AX45" i="7" a="1"/>
  <c r="AX45" i="7" s="1"/>
  <c r="AX44" i="7" a="1"/>
  <c r="AX44" i="7" s="1"/>
  <c r="AX43" i="7" a="1"/>
  <c r="AX43" i="7" s="1"/>
  <c r="AX42" i="7" a="1"/>
  <c r="AX42" i="7" s="1"/>
  <c r="AX41" i="7" a="1"/>
  <c r="AX41" i="7" s="1"/>
  <c r="AX40" i="7" a="1"/>
  <c r="AX40" i="7" s="1"/>
  <c r="AX39" i="7" a="1"/>
  <c r="AX39" i="7" s="1"/>
  <c r="AX38" i="7" a="1"/>
  <c r="AX38" i="7" s="1"/>
  <c r="AX37" i="7" a="1"/>
  <c r="AX37" i="7" s="1"/>
  <c r="AX33" i="7" a="1"/>
  <c r="AX33" i="7" s="1"/>
  <c r="AX32" i="7" a="1"/>
  <c r="AX32" i="7" s="1"/>
  <c r="AX31" i="7" a="1"/>
  <c r="AX31" i="7" s="1"/>
  <c r="AX30" i="7" a="1"/>
  <c r="AX30" i="7" s="1"/>
  <c r="AX29" i="7" a="1"/>
  <c r="AX29" i="7" s="1"/>
  <c r="AX28" i="7" a="1"/>
  <c r="AX28" i="7" s="1"/>
  <c r="AX27" i="7" a="1"/>
  <c r="AX27" i="7" s="1"/>
  <c r="AX26" i="7" a="1"/>
  <c r="AX26" i="7" s="1"/>
  <c r="AX25" i="7" a="1"/>
  <c r="AX25" i="7" s="1"/>
  <c r="AX24" i="7" a="1"/>
  <c r="AX24" i="7" s="1"/>
  <c r="AX23" i="7" a="1"/>
  <c r="AX23" i="7" s="1"/>
  <c r="AX22" i="7" a="1"/>
  <c r="AX22" i="7" s="1"/>
  <c r="AX21" i="7" a="1"/>
  <c r="AX21" i="7" s="1"/>
  <c r="AX20" i="7" a="1"/>
  <c r="AX20" i="7" s="1"/>
  <c r="AX19" i="7" a="1"/>
  <c r="AX19" i="7" s="1"/>
  <c r="AX18" i="7" a="1"/>
  <c r="AX18" i="7" s="1"/>
  <c r="AX17" i="7" a="1"/>
  <c r="AX17" i="7" s="1"/>
  <c r="AX16" i="7" a="1"/>
  <c r="AX16" i="7" s="1"/>
  <c r="AX15" i="7" a="1"/>
  <c r="AX15" i="7" s="1"/>
  <c r="AX14" i="7" a="1"/>
  <c r="AX14" i="7" s="1"/>
  <c r="AX13" i="7" a="1"/>
  <c r="AX13" i="7" s="1"/>
  <c r="AX12" i="7" a="1"/>
  <c r="AX12" i="7" s="1"/>
  <c r="AX11" i="7" a="1"/>
  <c r="AX11" i="7" s="1"/>
  <c r="AX10" i="7" a="1"/>
  <c r="AX10" i="7" s="1"/>
  <c r="AX9" i="7" a="1"/>
  <c r="AX9" i="7" s="1"/>
  <c r="AX8" i="7" a="1"/>
  <c r="AX8" i="7" s="1"/>
  <c r="AX7" i="7" a="1"/>
  <c r="AX7" i="7" s="1"/>
  <c r="AX6" i="7" a="1"/>
  <c r="AX6" i="7" s="1"/>
  <c r="AX5" i="7" a="1"/>
  <c r="AX5" i="7" s="1"/>
  <c r="AX4" i="7" a="1"/>
  <c r="AX4" i="7" s="1"/>
  <c r="AW1" i="7"/>
  <c r="AB2" i="7"/>
  <c r="AH2" i="7" s="1"/>
  <c r="S2" i="7"/>
  <c r="AB3" i="7"/>
  <c r="AH3" i="7" s="1"/>
  <c r="S3" i="7"/>
  <c r="AB4" i="7"/>
  <c r="AH4" i="7" s="1"/>
  <c r="S4" i="7"/>
  <c r="AB5" i="7"/>
  <c r="AH5" i="7" s="1"/>
  <c r="S5" i="7"/>
  <c r="AB6" i="7"/>
  <c r="AH6" i="7" s="1"/>
  <c r="S6" i="7"/>
  <c r="AB7" i="7"/>
  <c r="AH7" i="7" s="1"/>
  <c r="S7" i="7"/>
  <c r="AB8" i="7"/>
  <c r="AH8" i="7" s="1"/>
  <c r="S8" i="7"/>
  <c r="AB9" i="7"/>
  <c r="AH9" i="7" s="1"/>
  <c r="S9" i="7"/>
  <c r="AB10" i="7"/>
  <c r="AH10" i="7" s="1"/>
  <c r="S10" i="7"/>
  <c r="AB11" i="7"/>
  <c r="AH11" i="7" s="1"/>
  <c r="S11" i="7"/>
  <c r="AB12" i="7"/>
  <c r="AH12" i="7" s="1"/>
  <c r="S12" i="7"/>
  <c r="AB13" i="7"/>
  <c r="AH13" i="7" s="1"/>
  <c r="S13" i="7"/>
  <c r="AB14" i="7"/>
  <c r="AH14" i="7" s="1"/>
  <c r="S14" i="7"/>
  <c r="AB15" i="7"/>
  <c r="AH15" i="7" s="1"/>
  <c r="S15" i="7"/>
  <c r="AB16" i="7"/>
  <c r="AH16" i="7" s="1"/>
  <c r="S16" i="7"/>
  <c r="AB17" i="7"/>
  <c r="AH17" i="7" s="1"/>
  <c r="S17" i="7"/>
  <c r="AB18" i="7"/>
  <c r="AH18" i="7" s="1"/>
  <c r="S18" i="7"/>
  <c r="AB19" i="7"/>
  <c r="AH19" i="7" s="1"/>
  <c r="S19" i="7"/>
  <c r="AB20" i="7"/>
  <c r="AH20" i="7" s="1"/>
  <c r="S20" i="7"/>
  <c r="AB21" i="7"/>
  <c r="AH21" i="7" s="1"/>
  <c r="S21" i="7"/>
  <c r="AB22" i="7"/>
  <c r="AH22" i="7" s="1"/>
  <c r="S22" i="7"/>
  <c r="AB23" i="7"/>
  <c r="AH23" i="7" s="1"/>
  <c r="S23" i="7"/>
  <c r="AB24" i="7"/>
  <c r="AH24" i="7" s="1"/>
  <c r="S24" i="7"/>
  <c r="AB25" i="7"/>
  <c r="AH25" i="7" s="1"/>
  <c r="S25" i="7"/>
  <c r="AB26" i="7"/>
  <c r="AH26" i="7" s="1"/>
  <c r="S26" i="7"/>
  <c r="AB27" i="7"/>
  <c r="AH27" i="7" s="1"/>
  <c r="S27" i="7"/>
  <c r="AB28" i="7"/>
  <c r="AH28" i="7" s="1"/>
  <c r="S28" i="7"/>
  <c r="AB29" i="7"/>
  <c r="AH29" i="7" s="1"/>
  <c r="S29" i="7"/>
  <c r="AB30" i="7"/>
  <c r="AH30" i="7" s="1"/>
  <c r="S30" i="7"/>
  <c r="AB31" i="7"/>
  <c r="AH31" i="7" s="1"/>
  <c r="S31" i="7"/>
  <c r="BB1" i="12"/>
  <c r="BC62" i="12" a="1"/>
  <c r="BC62" i="12" s="1"/>
  <c r="BC63" i="12" a="1"/>
  <c r="BC63" i="12" s="1"/>
  <c r="BC64" i="12" a="1"/>
  <c r="BC64" i="12" s="1"/>
  <c r="BC65" i="12" a="1"/>
  <c r="BC65" i="12" s="1"/>
  <c r="BC66" i="12" a="1"/>
  <c r="BC66" i="12" s="1"/>
  <c r="BC67" i="12" a="1"/>
  <c r="BC67" i="12" s="1"/>
  <c r="BC68" i="12" a="1"/>
  <c r="BC68" i="12" s="1"/>
  <c r="BC69" i="12" a="1"/>
  <c r="BC69" i="12" s="1"/>
  <c r="BC70" i="12" a="1"/>
  <c r="BC70" i="12" s="1"/>
  <c r="BC71" i="12" a="1"/>
  <c r="BC71" i="12" s="1"/>
  <c r="BC72" i="12" a="1"/>
  <c r="BC72" i="12" s="1"/>
  <c r="BC33" i="12" a="1"/>
  <c r="BC33" i="12" s="1"/>
  <c r="BC34" i="12" a="1"/>
  <c r="BC34" i="12" s="1"/>
  <c r="BC35" i="12" a="1"/>
  <c r="BC35" i="12" s="1"/>
  <c r="BC36" i="12" a="1"/>
  <c r="BC36" i="12" s="1"/>
  <c r="BC37" i="12" a="1"/>
  <c r="BC37" i="12" s="1"/>
  <c r="BC38" i="12" a="1"/>
  <c r="BC38" i="12" s="1"/>
  <c r="BC39" i="12" a="1"/>
  <c r="BC39" i="12" s="1"/>
  <c r="BC40" i="12" a="1"/>
  <c r="BC40" i="12" s="1"/>
  <c r="BC41" i="12" a="1"/>
  <c r="BC41" i="12" s="1"/>
  <c r="BC42" i="12" a="1"/>
  <c r="BC42" i="12" s="1"/>
  <c r="BC43" i="12" a="1"/>
  <c r="BC43" i="12" s="1"/>
  <c r="BC44" i="12" a="1"/>
  <c r="BC44" i="12" s="1"/>
  <c r="BC45" i="12" a="1"/>
  <c r="BC45" i="12" s="1"/>
  <c r="BC46" i="12" a="1"/>
  <c r="BC46" i="12" s="1"/>
  <c r="BC47" i="12" a="1"/>
  <c r="BC47" i="12" s="1"/>
  <c r="BC48" i="12" a="1"/>
  <c r="BC48" i="12" s="1"/>
  <c r="BC49" i="12" a="1"/>
  <c r="BC49" i="12" s="1"/>
  <c r="BC50" i="12" a="1"/>
  <c r="BC50" i="12" s="1"/>
  <c r="BC51" i="12" a="1"/>
  <c r="BC51" i="12" s="1"/>
  <c r="BC52" i="12" a="1"/>
  <c r="BC52" i="12" s="1"/>
  <c r="BC53" i="12" a="1"/>
  <c r="BC53" i="12" s="1"/>
  <c r="BC54" i="12" a="1"/>
  <c r="BC54" i="12" s="1"/>
  <c r="BC55" i="12" a="1"/>
  <c r="BC55" i="12" s="1"/>
  <c r="BC56" i="12" a="1"/>
  <c r="BC56" i="12" s="1"/>
  <c r="BC57" i="12" a="1"/>
  <c r="BC57" i="12" s="1"/>
  <c r="BC58" i="12" a="1"/>
  <c r="BC58" i="12" s="1"/>
  <c r="BC59" i="12" a="1"/>
  <c r="BC59" i="12" s="1"/>
  <c r="BC60" i="12" a="1"/>
  <c r="BC60" i="12" s="1"/>
  <c r="BC61" i="12" a="1"/>
  <c r="BC61" i="12" s="1"/>
  <c r="BC7" i="12" a="1"/>
  <c r="BC7" i="12" s="1"/>
  <c r="BC8" i="12" a="1"/>
  <c r="BC8" i="12" s="1"/>
  <c r="BC9" i="12" a="1"/>
  <c r="BC9" i="12" s="1"/>
  <c r="BC10" i="12" a="1"/>
  <c r="BC10" i="12" s="1"/>
  <c r="BC11" i="12" a="1"/>
  <c r="BC11" i="12" s="1"/>
  <c r="BC12" i="12" a="1"/>
  <c r="BC12" i="12" s="1"/>
  <c r="BC13" i="12" a="1"/>
  <c r="BC13" i="12" s="1"/>
  <c r="BC14" i="12" a="1"/>
  <c r="BC14" i="12" s="1"/>
  <c r="BC15" i="12" a="1"/>
  <c r="BC15" i="12" s="1"/>
  <c r="BC16" i="12" a="1"/>
  <c r="BC16" i="12" s="1"/>
  <c r="BC17" i="12" a="1"/>
  <c r="BC17" i="12" s="1"/>
  <c r="BC18" i="12" a="1"/>
  <c r="BC18" i="12" s="1"/>
  <c r="BC19" i="12" a="1"/>
  <c r="BC19" i="12" s="1"/>
  <c r="BC20" i="12" a="1"/>
  <c r="BC20" i="12" s="1"/>
  <c r="BC21" i="12" a="1"/>
  <c r="BC21" i="12" s="1"/>
  <c r="BC22" i="12" a="1"/>
  <c r="BC22" i="12" s="1"/>
  <c r="BC23" i="12" a="1"/>
  <c r="BC23" i="12" s="1"/>
  <c r="BC24" i="12" a="1"/>
  <c r="BC24" i="12" s="1"/>
  <c r="BC25" i="12" a="1"/>
  <c r="BC25" i="12" s="1"/>
  <c r="BC26" i="12" a="1"/>
  <c r="BC26" i="12" s="1"/>
  <c r="BC27" i="12" a="1"/>
  <c r="BC27" i="12" s="1"/>
  <c r="BC28" i="12" a="1"/>
  <c r="BC28" i="12" s="1"/>
  <c r="BC29" i="12" a="1"/>
  <c r="BC29" i="12" s="1"/>
  <c r="BC30" i="12" a="1"/>
  <c r="BC30" i="12" s="1"/>
  <c r="BC31" i="12" a="1"/>
  <c r="BC31" i="12" s="1"/>
  <c r="BC32" i="12" a="1"/>
  <c r="BC32" i="12" s="1"/>
  <c r="BC4" i="12" a="1"/>
  <c r="BC4" i="12" s="1"/>
  <c r="BC5" i="12" a="1"/>
  <c r="BC5" i="12" s="1"/>
  <c r="BC6" i="12" a="1"/>
  <c r="BC6" i="12" s="1"/>
  <c r="AD2" i="12"/>
  <c r="AJ2" i="12" s="1"/>
  <c r="S2" i="12"/>
  <c r="AD3" i="12"/>
  <c r="AJ3" i="12" s="1"/>
  <c r="S3" i="12"/>
  <c r="AD70" i="12"/>
  <c r="AJ70" i="12" s="1"/>
  <c r="S70" i="12"/>
  <c r="AD69" i="12"/>
  <c r="AJ69" i="12" s="1"/>
  <c r="S69" i="12"/>
  <c r="AD68" i="12"/>
  <c r="AJ68" i="12" s="1"/>
  <c r="S68" i="12"/>
  <c r="AD67" i="12"/>
  <c r="AJ67" i="12" s="1"/>
  <c r="S67" i="12"/>
  <c r="AD66" i="12"/>
  <c r="AJ66" i="12" s="1"/>
  <c r="S66" i="12"/>
  <c r="AD65" i="12"/>
  <c r="AJ65" i="12" s="1"/>
  <c r="S65" i="12"/>
  <c r="AD64" i="12"/>
  <c r="AJ64" i="12" s="1"/>
  <c r="S64" i="12"/>
  <c r="AD63" i="12"/>
  <c r="AJ63" i="12" s="1"/>
  <c r="S63" i="12"/>
  <c r="AD62" i="12"/>
  <c r="AJ62" i="12" s="1"/>
  <c r="S62" i="12"/>
  <c r="AD61" i="12"/>
  <c r="AJ61" i="12" s="1"/>
  <c r="S61" i="12"/>
  <c r="AD60" i="12"/>
  <c r="AJ60" i="12" s="1"/>
  <c r="S60" i="12"/>
  <c r="AD59" i="12"/>
  <c r="AJ59" i="12" s="1"/>
  <c r="S59" i="12"/>
  <c r="AD58" i="12"/>
  <c r="AJ58" i="12" s="1"/>
  <c r="S58" i="12"/>
  <c r="AD57" i="12"/>
  <c r="AJ57" i="12" s="1"/>
  <c r="S57" i="12"/>
  <c r="AD56" i="12"/>
  <c r="AJ56" i="12" s="1"/>
  <c r="S56" i="12"/>
  <c r="AD55" i="12"/>
  <c r="AJ55" i="12" s="1"/>
  <c r="S55" i="12"/>
  <c r="AD54" i="12"/>
  <c r="AJ54" i="12" s="1"/>
  <c r="S54" i="12"/>
  <c r="AD53" i="12"/>
  <c r="AJ53" i="12" s="1"/>
  <c r="S53" i="12"/>
  <c r="AD52" i="12"/>
  <c r="AJ52" i="12" s="1"/>
  <c r="S52" i="12"/>
  <c r="AD51" i="12"/>
  <c r="AJ51" i="12" s="1"/>
  <c r="S51" i="12"/>
  <c r="AD50" i="12"/>
  <c r="AJ50" i="12" s="1"/>
  <c r="S50" i="12"/>
  <c r="AD49" i="12"/>
  <c r="AJ49" i="12" s="1"/>
  <c r="S49" i="12"/>
  <c r="AD48" i="12"/>
  <c r="AJ48" i="12" s="1"/>
  <c r="S48" i="12"/>
  <c r="AD47" i="12"/>
  <c r="AJ47" i="12" s="1"/>
  <c r="S47" i="12"/>
  <c r="AD46" i="12"/>
  <c r="AJ46" i="12" s="1"/>
  <c r="S46" i="12"/>
  <c r="AD45" i="12"/>
  <c r="AJ45" i="12" s="1"/>
  <c r="S45" i="12"/>
  <c r="AD44" i="12"/>
  <c r="AJ44" i="12" s="1"/>
  <c r="S44" i="12"/>
  <c r="AD43" i="12"/>
  <c r="AJ43" i="12" s="1"/>
  <c r="S43" i="12"/>
  <c r="AD42" i="12"/>
  <c r="AJ42" i="12" s="1"/>
  <c r="S42" i="12"/>
  <c r="AD41" i="12"/>
  <c r="AJ41" i="12" s="1"/>
  <c r="S41" i="12"/>
  <c r="AD40" i="12"/>
  <c r="AJ40" i="12" s="1"/>
  <c r="S40" i="12"/>
  <c r="AD39" i="12"/>
  <c r="AJ39" i="12" s="1"/>
  <c r="S39" i="12"/>
  <c r="AD38" i="12"/>
  <c r="AJ38" i="12" s="1"/>
  <c r="S38" i="12"/>
  <c r="AD37" i="12"/>
  <c r="AJ37" i="12" s="1"/>
  <c r="S37" i="12"/>
  <c r="AD36" i="12"/>
  <c r="AJ36" i="12" s="1"/>
  <c r="S36" i="12"/>
  <c r="AD35" i="12"/>
  <c r="AJ35" i="12" s="1"/>
  <c r="S35" i="12"/>
  <c r="AD34" i="12"/>
  <c r="AJ34" i="12" s="1"/>
  <c r="S34" i="12"/>
  <c r="AD33" i="12"/>
  <c r="AJ33" i="12" s="1"/>
  <c r="S33" i="12"/>
  <c r="AD32" i="12"/>
  <c r="AJ32" i="12" s="1"/>
  <c r="S32" i="12"/>
  <c r="AD31" i="12"/>
  <c r="AJ31" i="12" s="1"/>
  <c r="S31" i="12"/>
  <c r="AD30" i="12"/>
  <c r="AJ30" i="12" s="1"/>
  <c r="S30" i="12"/>
  <c r="AD29" i="12"/>
  <c r="AJ29" i="12" s="1"/>
  <c r="S29" i="12"/>
  <c r="AD28" i="12"/>
  <c r="AJ28" i="12" s="1"/>
  <c r="S28" i="12"/>
  <c r="AD27" i="12"/>
  <c r="AJ27" i="12" s="1"/>
  <c r="S27" i="12"/>
  <c r="AD26" i="12"/>
  <c r="AJ26" i="12" s="1"/>
  <c r="S26" i="12"/>
  <c r="AD25" i="12"/>
  <c r="AJ25" i="12" s="1"/>
  <c r="S25" i="12"/>
  <c r="AD24" i="12"/>
  <c r="AJ24" i="12" s="1"/>
  <c r="S24" i="12"/>
  <c r="AD23" i="12"/>
  <c r="AJ23" i="12" s="1"/>
  <c r="S23" i="12"/>
  <c r="AD22" i="12"/>
  <c r="AJ22" i="12" s="1"/>
  <c r="S22" i="12"/>
  <c r="AD21" i="12"/>
  <c r="AJ21" i="12" s="1"/>
  <c r="S21" i="12"/>
  <c r="AD20" i="12"/>
  <c r="AJ20" i="12" s="1"/>
  <c r="S20" i="12"/>
  <c r="AD19" i="12"/>
  <c r="AJ19" i="12" s="1"/>
  <c r="S19" i="12"/>
  <c r="AD18" i="12"/>
  <c r="AJ18" i="12" s="1"/>
  <c r="S18" i="12"/>
  <c r="AD17" i="12"/>
  <c r="AJ17" i="12" s="1"/>
  <c r="S17" i="12"/>
  <c r="AD16" i="12"/>
  <c r="AJ16" i="12" s="1"/>
  <c r="S16" i="12"/>
  <c r="AD15" i="12"/>
  <c r="AJ15" i="12" s="1"/>
  <c r="S15" i="12"/>
  <c r="AD14" i="12"/>
  <c r="AJ14" i="12" s="1"/>
  <c r="S14" i="12"/>
  <c r="AD13" i="12"/>
  <c r="AJ13" i="12" s="1"/>
  <c r="S13" i="12"/>
  <c r="AD12" i="12"/>
  <c r="AJ12" i="12" s="1"/>
  <c r="S12" i="12"/>
  <c r="AD11" i="12"/>
  <c r="AJ11" i="12" s="1"/>
  <c r="S11" i="12"/>
  <c r="AD10" i="12"/>
  <c r="AJ10" i="12" s="1"/>
  <c r="S10" i="12"/>
  <c r="AD9" i="12"/>
  <c r="AJ9" i="12" s="1"/>
  <c r="S9" i="12"/>
  <c r="AD8" i="12"/>
  <c r="AJ8" i="12" s="1"/>
  <c r="S8" i="12"/>
  <c r="AD7" i="12"/>
  <c r="AJ7" i="12" s="1"/>
  <c r="S7" i="12"/>
  <c r="AD6" i="12"/>
  <c r="AJ6" i="12" s="1"/>
  <c r="S6" i="12"/>
  <c r="AD5" i="12"/>
  <c r="AJ5" i="12" s="1"/>
  <c r="S5" i="12"/>
  <c r="AD4" i="12"/>
  <c r="AJ4" i="12" s="1"/>
  <c r="S4" i="12"/>
  <c r="AW72" i="11" a="1"/>
  <c r="AW72" i="11" s="1"/>
  <c r="AW71" i="11" a="1"/>
  <c r="AW71" i="11" s="1"/>
  <c r="AW70" i="11" a="1"/>
  <c r="AW70" i="11" s="1"/>
  <c r="AW69" i="11" a="1"/>
  <c r="AW69" i="11" s="1"/>
  <c r="AW68" i="11" a="1"/>
  <c r="AW68" i="11" s="1"/>
  <c r="AW67" i="11" a="1"/>
  <c r="AW67" i="11" s="1"/>
  <c r="AW66" i="11" a="1"/>
  <c r="AW66" i="11" s="1"/>
  <c r="AW65" i="11" a="1"/>
  <c r="AW65" i="11" s="1"/>
  <c r="AW64" i="11" a="1"/>
  <c r="AW64" i="11" s="1"/>
  <c r="AW63" i="11" a="1"/>
  <c r="AW63" i="11" s="1"/>
  <c r="AW62" i="11" a="1"/>
  <c r="AW62" i="11" s="1"/>
  <c r="AW61" i="11" a="1"/>
  <c r="AW61" i="11" s="1"/>
  <c r="AW60" i="11" a="1"/>
  <c r="AW60" i="11" s="1"/>
  <c r="AW59" i="11" a="1"/>
  <c r="AW59" i="11" s="1"/>
  <c r="AW58" i="11" a="1"/>
  <c r="AW58" i="11" s="1"/>
  <c r="AW57" i="11" a="1"/>
  <c r="AW57" i="11" s="1"/>
  <c r="AW56" i="11" a="1"/>
  <c r="AW56" i="11" s="1"/>
  <c r="AW55" i="11" a="1"/>
  <c r="AW55" i="11" s="1"/>
  <c r="AW54" i="11" a="1"/>
  <c r="AW54" i="11" s="1"/>
  <c r="AW53" i="11" a="1"/>
  <c r="AW53" i="11" s="1"/>
  <c r="AW52" i="11" a="1"/>
  <c r="AW52" i="11" s="1"/>
  <c r="AW51" i="11" a="1"/>
  <c r="AW51" i="11" s="1"/>
  <c r="AW50" i="11" a="1"/>
  <c r="AW50" i="11" s="1"/>
  <c r="AW49" i="11" a="1"/>
  <c r="AW49" i="11" s="1"/>
  <c r="AW48" i="11" a="1"/>
  <c r="AW48" i="11" s="1"/>
  <c r="AW47" i="11" a="1"/>
  <c r="AW47" i="11" s="1"/>
  <c r="AW46" i="11" a="1"/>
  <c r="AW46" i="11" s="1"/>
  <c r="AW45" i="11" a="1"/>
  <c r="AW45" i="11" s="1"/>
  <c r="AW44" i="11" a="1"/>
  <c r="AW44" i="11" s="1"/>
  <c r="AW43" i="11" a="1"/>
  <c r="AW43" i="11" s="1"/>
  <c r="AW42" i="11" a="1"/>
  <c r="AW42" i="11" s="1"/>
  <c r="AW41" i="11" a="1"/>
  <c r="AW41" i="11" s="1"/>
  <c r="AW40" i="11" a="1"/>
  <c r="AW40" i="11" s="1"/>
  <c r="AW39" i="11" a="1"/>
  <c r="AW39" i="11" s="1"/>
  <c r="AW38" i="11" a="1"/>
  <c r="AW38" i="11" s="1"/>
  <c r="AW37" i="11" a="1"/>
  <c r="AW37" i="11" s="1"/>
  <c r="AW36" i="11" a="1"/>
  <c r="AW36" i="11" s="1"/>
  <c r="AW35" i="11" a="1"/>
  <c r="AW35" i="11" s="1"/>
  <c r="AW34" i="11" a="1"/>
  <c r="AW34" i="11" s="1"/>
  <c r="AW33" i="11" a="1"/>
  <c r="AW33" i="11" s="1"/>
  <c r="AW32" i="11" a="1"/>
  <c r="AW32" i="11" s="1"/>
  <c r="AW31" i="11" a="1"/>
  <c r="AW31" i="11" s="1"/>
  <c r="AW30" i="11" a="1"/>
  <c r="AW30" i="11" s="1"/>
  <c r="AW29" i="11" a="1"/>
  <c r="AW29" i="11" s="1"/>
  <c r="AW28" i="11" a="1"/>
  <c r="AW28" i="11" s="1"/>
  <c r="AW27" i="11" a="1"/>
  <c r="AW27" i="11" s="1"/>
  <c r="AW26" i="11" a="1"/>
  <c r="AW26" i="11" s="1"/>
  <c r="AW25" i="11" a="1"/>
  <c r="AW25" i="11" s="1"/>
  <c r="AW24" i="11" a="1"/>
  <c r="AW24" i="11" s="1"/>
  <c r="AW23" i="11" a="1"/>
  <c r="AW23" i="11" s="1"/>
  <c r="AW22" i="11" a="1"/>
  <c r="AW22" i="11" s="1"/>
  <c r="AW21" i="11" a="1"/>
  <c r="AW21" i="11" s="1"/>
  <c r="AW20" i="11" a="1"/>
  <c r="AW20" i="11" s="1"/>
  <c r="AW19" i="11" a="1"/>
  <c r="AW19" i="11" s="1"/>
  <c r="AW18" i="11" a="1"/>
  <c r="AW18" i="11" s="1"/>
  <c r="AW17" i="11" a="1"/>
  <c r="AW17" i="11" s="1"/>
  <c r="AW16" i="11" a="1"/>
  <c r="AW16" i="11" s="1"/>
  <c r="AW15" i="11" a="1"/>
  <c r="AW15" i="11" s="1"/>
  <c r="AW14" i="11" a="1"/>
  <c r="AW14" i="11" s="1"/>
  <c r="AW13" i="11" a="1"/>
  <c r="AW13" i="11" s="1"/>
  <c r="AW12" i="11" a="1"/>
  <c r="AW12" i="11" s="1"/>
  <c r="AW11" i="11" a="1"/>
  <c r="AW11" i="11" s="1"/>
  <c r="AW10" i="11" a="1"/>
  <c r="AW10" i="11" s="1"/>
  <c r="AW9" i="11" a="1"/>
  <c r="AW9" i="11" s="1"/>
  <c r="AW8" i="11" a="1"/>
  <c r="AW8" i="11" s="1"/>
  <c r="AW7" i="11" a="1"/>
  <c r="AW7" i="11" s="1"/>
  <c r="AW6" i="11" a="1"/>
  <c r="AW6" i="11" s="1"/>
  <c r="AW5" i="11" a="1"/>
  <c r="AW5" i="11" s="1"/>
  <c r="AW4" i="11" a="1"/>
  <c r="AW4" i="11" s="1"/>
  <c r="AV1" i="11"/>
  <c r="AB2" i="11"/>
  <c r="S2" i="11"/>
  <c r="AB3" i="11"/>
  <c r="AH3" i="11" s="1"/>
  <c r="S3" i="11"/>
  <c r="AB4" i="11"/>
  <c r="S4" i="11"/>
  <c r="AB5" i="11"/>
  <c r="S5" i="11"/>
  <c r="AB6" i="11"/>
  <c r="S6" i="11"/>
  <c r="AB7" i="11"/>
  <c r="S7" i="11"/>
  <c r="AB8" i="11"/>
  <c r="S8" i="11"/>
  <c r="AB9" i="11"/>
  <c r="S9" i="11"/>
  <c r="AB10" i="11"/>
  <c r="S10" i="11"/>
  <c r="AB11" i="11"/>
  <c r="S11" i="11"/>
  <c r="AB12" i="11"/>
  <c r="S12" i="11"/>
  <c r="AB13" i="11"/>
  <c r="S13" i="11"/>
  <c r="AB14" i="11"/>
  <c r="S14" i="11"/>
  <c r="AB15" i="11"/>
  <c r="S15" i="11"/>
  <c r="AB16" i="11"/>
  <c r="S16" i="11"/>
  <c r="AB17" i="11"/>
  <c r="S17" i="11"/>
  <c r="AB18" i="11"/>
  <c r="S18" i="11"/>
  <c r="AB19" i="11"/>
  <c r="S19" i="11"/>
  <c r="AB20" i="11"/>
  <c r="S20" i="11"/>
  <c r="AB21" i="11"/>
  <c r="S21" i="11"/>
  <c r="AB22" i="11"/>
  <c r="S22" i="11"/>
  <c r="AB23" i="11"/>
  <c r="S23" i="11"/>
  <c r="AB24" i="11"/>
  <c r="S24" i="11"/>
  <c r="AB25" i="11"/>
  <c r="S25" i="11"/>
  <c r="AB26" i="11"/>
  <c r="S26" i="11"/>
  <c r="AB27" i="11"/>
  <c r="S27" i="11"/>
  <c r="AB28" i="11"/>
  <c r="S28" i="11"/>
  <c r="AB29" i="11"/>
  <c r="S29" i="11"/>
  <c r="AB30" i="11"/>
  <c r="S30" i="11"/>
  <c r="AB31" i="11"/>
  <c r="S31" i="11"/>
  <c r="AB32" i="11"/>
  <c r="S32" i="11"/>
  <c r="AB33" i="11"/>
  <c r="S33" i="11"/>
  <c r="AB34" i="11"/>
  <c r="S34" i="11"/>
  <c r="AB35" i="11"/>
  <c r="S35" i="11"/>
  <c r="AB36" i="11"/>
  <c r="S36" i="11"/>
  <c r="AB37" i="11"/>
  <c r="S37" i="11"/>
  <c r="AB38" i="11"/>
  <c r="S38" i="11"/>
  <c r="AB39" i="11"/>
  <c r="S39" i="11"/>
  <c r="AB40" i="11"/>
  <c r="S40" i="11"/>
  <c r="AB41" i="11"/>
  <c r="S41" i="11"/>
  <c r="AB42" i="11"/>
  <c r="S42" i="11"/>
  <c r="AB43" i="11"/>
  <c r="S43" i="11"/>
  <c r="AD4" i="14" l="1"/>
  <c r="AY1" i="10" a="1"/>
  <c r="AY1" i="10" s="1"/>
  <c r="AK2" i="10" s="1"/>
  <c r="AY2" i="10" a="1"/>
  <c r="AY2" i="10" s="1"/>
  <c r="AK3" i="10" s="1"/>
  <c r="BA1" i="7" a="1"/>
  <c r="BA1" i="7" s="1"/>
  <c r="AK2" i="7" s="1"/>
  <c r="BA2" i="7" a="1"/>
  <c r="BA2" i="7" s="1"/>
  <c r="AK3" i="7" s="1"/>
  <c r="AH36" i="11"/>
  <c r="AH28" i="11"/>
  <c r="AH20" i="11"/>
  <c r="AH12" i="11"/>
  <c r="AH4" i="11"/>
  <c r="AH29" i="11"/>
  <c r="AH43" i="11"/>
  <c r="AH35" i="11"/>
  <c r="AH27" i="11"/>
  <c r="AH19" i="11"/>
  <c r="AH11" i="11"/>
  <c r="AH21" i="11"/>
  <c r="AH42" i="11"/>
  <c r="AH34" i="11"/>
  <c r="AH26" i="11"/>
  <c r="AH18" i="11"/>
  <c r="AH10" i="11"/>
  <c r="AH13" i="11"/>
  <c r="AH5" i="11"/>
  <c r="AH41" i="11"/>
  <c r="AH33" i="11"/>
  <c r="AH25" i="11"/>
  <c r="AH17" i="11"/>
  <c r="AH9" i="11"/>
  <c r="AH37" i="11"/>
  <c r="AH16" i="11"/>
  <c r="AH32" i="11"/>
  <c r="AH24" i="11"/>
  <c r="AH39" i="11"/>
  <c r="AH31" i="11"/>
  <c r="AH23" i="11"/>
  <c r="AH15" i="11"/>
  <c r="AH7" i="11"/>
  <c r="AH40" i="11"/>
  <c r="AH8" i="11"/>
  <c r="AH38" i="11"/>
  <c r="AH30" i="11"/>
  <c r="AH22" i="11"/>
  <c r="AH14" i="11"/>
  <c r="AH6" i="11"/>
  <c r="AH2" i="11"/>
  <c r="AZ1" i="11" a="1"/>
  <c r="AZ1" i="11" s="1"/>
  <c r="AK2" i="11" s="1"/>
  <c r="AZ2" i="11" a="1"/>
  <c r="AZ2" i="11" s="1"/>
  <c r="AK3" i="11" s="1"/>
  <c r="BF1" i="12" a="1"/>
  <c r="BF1" i="12" s="1"/>
  <c r="AM2" i="12" s="1"/>
  <c r="BF2" i="12" a="1"/>
  <c r="BF2" i="12" s="1"/>
  <c r="AM3" i="12" s="1"/>
  <c r="AD3" i="13"/>
  <c r="T3" i="13"/>
  <c r="T5" i="14"/>
  <c r="R74" i="10"/>
  <c r="V74" i="10" s="1" a="1"/>
  <c r="V74" i="10" s="1"/>
  <c r="R77" i="10"/>
  <c r="T77" i="10" s="1"/>
  <c r="AV1" i="10" a="1"/>
  <c r="AV1" i="10" s="1"/>
  <c r="AV2" i="10" a="1"/>
  <c r="AV2" i="10" s="1"/>
  <c r="AV3" i="10" a="1"/>
  <c r="AV3" i="10" s="1"/>
  <c r="R78" i="10"/>
  <c r="V78" i="10" s="1" a="1"/>
  <c r="V78" i="10" s="1"/>
  <c r="V77" i="10" a="1"/>
  <c r="V77" i="10" s="1"/>
  <c r="V76" i="10" a="1"/>
  <c r="V76" i="10" s="1"/>
  <c r="U76" i="10" a="1"/>
  <c r="U76" i="10" s="1"/>
  <c r="T76" i="10"/>
  <c r="V75" i="10" a="1"/>
  <c r="V75" i="10" s="1"/>
  <c r="U75" i="10" a="1"/>
  <c r="U75" i="10" s="1"/>
  <c r="T75" i="10"/>
  <c r="AA5" i="10"/>
  <c r="R5" i="10"/>
  <c r="AA6" i="10"/>
  <c r="R6" i="10"/>
  <c r="AA7" i="10"/>
  <c r="R7" i="10"/>
  <c r="AA8" i="10"/>
  <c r="R8" i="10"/>
  <c r="AA9" i="10"/>
  <c r="R9" i="10"/>
  <c r="AA10" i="10"/>
  <c r="R10" i="10"/>
  <c r="AA11" i="10"/>
  <c r="R11" i="10"/>
  <c r="AA12" i="10"/>
  <c r="R12" i="10"/>
  <c r="AA13" i="10"/>
  <c r="R13" i="10"/>
  <c r="AA14" i="10"/>
  <c r="R14" i="10"/>
  <c r="AA15" i="10"/>
  <c r="R15" i="10"/>
  <c r="AA16" i="10"/>
  <c r="R16" i="10"/>
  <c r="AA17" i="10"/>
  <c r="R17" i="10"/>
  <c r="AA18" i="10"/>
  <c r="R18" i="10"/>
  <c r="AA19" i="10"/>
  <c r="R19" i="10"/>
  <c r="AA20" i="10"/>
  <c r="R20" i="10"/>
  <c r="AA21" i="10"/>
  <c r="R21" i="10"/>
  <c r="AA22" i="10"/>
  <c r="R22" i="10"/>
  <c r="AA23" i="10"/>
  <c r="R23" i="10"/>
  <c r="AA24" i="10"/>
  <c r="R24" i="10"/>
  <c r="AA25" i="10"/>
  <c r="R25" i="10"/>
  <c r="AA26" i="10"/>
  <c r="R26" i="10"/>
  <c r="AA27" i="10"/>
  <c r="R27" i="10"/>
  <c r="AA28" i="10"/>
  <c r="R28" i="10"/>
  <c r="AA29" i="10"/>
  <c r="R29" i="10"/>
  <c r="AA30" i="10"/>
  <c r="R30" i="10"/>
  <c r="AA31" i="10"/>
  <c r="R31" i="10"/>
  <c r="AA32" i="10"/>
  <c r="R32" i="10"/>
  <c r="AA33" i="10"/>
  <c r="R33" i="10"/>
  <c r="AA34" i="10"/>
  <c r="R34" i="10"/>
  <c r="AA35" i="10"/>
  <c r="R35" i="10"/>
  <c r="AA36" i="10"/>
  <c r="R36" i="10"/>
  <c r="AA37" i="10"/>
  <c r="R37" i="10"/>
  <c r="AA38" i="10"/>
  <c r="R38" i="10"/>
  <c r="AA39" i="10"/>
  <c r="R39" i="10"/>
  <c r="AA40" i="10"/>
  <c r="R40" i="10"/>
  <c r="AA41" i="10"/>
  <c r="R41" i="10"/>
  <c r="AA42" i="10"/>
  <c r="R42" i="10"/>
  <c r="AA43" i="10"/>
  <c r="R43" i="10"/>
  <c r="AA44" i="10"/>
  <c r="R44" i="10"/>
  <c r="AA45" i="10"/>
  <c r="R45" i="10"/>
  <c r="AA46" i="10"/>
  <c r="R46" i="10"/>
  <c r="AA47" i="10"/>
  <c r="R47" i="10"/>
  <c r="AA48" i="10"/>
  <c r="R48" i="10"/>
  <c r="AA49" i="10"/>
  <c r="R49" i="10"/>
  <c r="AA50" i="10"/>
  <c r="R50" i="10"/>
  <c r="AA51" i="10"/>
  <c r="R51" i="10"/>
  <c r="AA52" i="10"/>
  <c r="R52" i="10"/>
  <c r="AA53" i="10"/>
  <c r="R53" i="10"/>
  <c r="AA54" i="10"/>
  <c r="R54" i="10"/>
  <c r="AA55" i="10"/>
  <c r="R55" i="10"/>
  <c r="AA56" i="10"/>
  <c r="R56" i="10"/>
  <c r="AA57" i="10"/>
  <c r="R57" i="10"/>
  <c r="AA58" i="10"/>
  <c r="R58" i="10"/>
  <c r="AA59" i="10"/>
  <c r="R59" i="10"/>
  <c r="AA60" i="10"/>
  <c r="R60" i="10"/>
  <c r="AA61" i="10"/>
  <c r="R61" i="10"/>
  <c r="R62" i="10"/>
  <c r="R63" i="10"/>
  <c r="R64" i="10"/>
  <c r="R65" i="10"/>
  <c r="R66" i="10"/>
  <c r="R67" i="10"/>
  <c r="R68" i="10"/>
  <c r="R69" i="10"/>
  <c r="R70" i="10"/>
  <c r="R71" i="10"/>
  <c r="R72" i="10"/>
  <c r="R73" i="10"/>
  <c r="AX3" i="7" a="1"/>
  <c r="AX3" i="7" s="1"/>
  <c r="AX2" i="7" a="1"/>
  <c r="AX2" i="7" s="1"/>
  <c r="AX1" i="7" a="1"/>
  <c r="AX1" i="7" s="1"/>
  <c r="AA5" i="7"/>
  <c r="AF5" i="7" s="1" a="1"/>
  <c r="AF5" i="7" s="1"/>
  <c r="R5" i="7"/>
  <c r="AA6" i="7"/>
  <c r="AF6" i="7" s="1" a="1"/>
  <c r="AF6" i="7" s="1"/>
  <c r="R6" i="7"/>
  <c r="AA7" i="7"/>
  <c r="AF7" i="7" s="1" a="1"/>
  <c r="AF7" i="7" s="1"/>
  <c r="R7" i="7"/>
  <c r="AA8" i="7"/>
  <c r="AF8" i="7" s="1" a="1"/>
  <c r="AF8" i="7" s="1"/>
  <c r="R8" i="7"/>
  <c r="AA9" i="7"/>
  <c r="AF9" i="7" s="1" a="1"/>
  <c r="AF9" i="7" s="1"/>
  <c r="R9" i="7"/>
  <c r="AA10" i="7"/>
  <c r="AF10" i="7" s="1" a="1"/>
  <c r="AF10" i="7" s="1"/>
  <c r="R10" i="7"/>
  <c r="AA11" i="7"/>
  <c r="AF11" i="7" s="1" a="1"/>
  <c r="AF11" i="7" s="1"/>
  <c r="R11" i="7"/>
  <c r="AA12" i="7"/>
  <c r="AF12" i="7" s="1" a="1"/>
  <c r="AF12" i="7" s="1"/>
  <c r="R12" i="7"/>
  <c r="AA13" i="7"/>
  <c r="AF13" i="7" s="1" a="1"/>
  <c r="AF13" i="7" s="1"/>
  <c r="R13" i="7"/>
  <c r="AA14" i="7"/>
  <c r="AF14" i="7" s="1" a="1"/>
  <c r="AF14" i="7" s="1"/>
  <c r="R14" i="7"/>
  <c r="AA15" i="7"/>
  <c r="AF15" i="7" s="1" a="1"/>
  <c r="AF15" i="7" s="1"/>
  <c r="R15" i="7"/>
  <c r="AA16" i="7"/>
  <c r="AF16" i="7" s="1" a="1"/>
  <c r="AF16" i="7" s="1"/>
  <c r="R16" i="7"/>
  <c r="AA17" i="7"/>
  <c r="AF17" i="7" s="1" a="1"/>
  <c r="AF17" i="7" s="1"/>
  <c r="R17" i="7"/>
  <c r="AA18" i="7"/>
  <c r="AF18" i="7" s="1" a="1"/>
  <c r="AF18" i="7" s="1"/>
  <c r="R18" i="7"/>
  <c r="AA19" i="7"/>
  <c r="AF19" i="7" s="1" a="1"/>
  <c r="AF19" i="7" s="1"/>
  <c r="R19" i="7"/>
  <c r="AA20" i="7"/>
  <c r="AF20" i="7" s="1" a="1"/>
  <c r="AF20" i="7" s="1"/>
  <c r="R20" i="7"/>
  <c r="AA21" i="7"/>
  <c r="AF21" i="7" s="1" a="1"/>
  <c r="AF21" i="7" s="1"/>
  <c r="R21" i="7"/>
  <c r="AA22" i="7"/>
  <c r="AF22" i="7" s="1" a="1"/>
  <c r="AF22" i="7" s="1"/>
  <c r="R22" i="7"/>
  <c r="AA23" i="7"/>
  <c r="AF23" i="7" s="1" a="1"/>
  <c r="AF23" i="7" s="1"/>
  <c r="R23" i="7"/>
  <c r="AA24" i="7"/>
  <c r="AF24" i="7" s="1" a="1"/>
  <c r="AF24" i="7" s="1"/>
  <c r="R24" i="7"/>
  <c r="AA25" i="7"/>
  <c r="AF25" i="7" s="1" a="1"/>
  <c r="AF25" i="7" s="1"/>
  <c r="R25" i="7"/>
  <c r="AA26" i="7"/>
  <c r="AF26" i="7" s="1" a="1"/>
  <c r="AF26" i="7" s="1"/>
  <c r="R26" i="7"/>
  <c r="AA27" i="7"/>
  <c r="AF27" i="7" s="1" a="1"/>
  <c r="AF27" i="7" s="1"/>
  <c r="R27" i="7"/>
  <c r="AA28" i="7"/>
  <c r="AF28" i="7" s="1" a="1"/>
  <c r="AF28" i="7" s="1"/>
  <c r="R28" i="7"/>
  <c r="AA29" i="7"/>
  <c r="AF29" i="7" s="1" a="1"/>
  <c r="AF29" i="7" s="1"/>
  <c r="R29" i="7"/>
  <c r="AA30" i="7"/>
  <c r="AF30" i="7" s="1" a="1"/>
  <c r="AF30" i="7" s="1"/>
  <c r="R30" i="7"/>
  <c r="AA31" i="7"/>
  <c r="AF31" i="7" s="1" a="1"/>
  <c r="AF31" i="7" s="1"/>
  <c r="R31" i="7"/>
  <c r="AC7" i="12"/>
  <c r="AG7" i="12" s="1"/>
  <c r="R7" i="12"/>
  <c r="AC6" i="12"/>
  <c r="AG6" i="12" s="1"/>
  <c r="R6" i="12"/>
  <c r="AC5" i="12"/>
  <c r="AG5" i="12" s="1"/>
  <c r="R5" i="12"/>
  <c r="AC33" i="12"/>
  <c r="AG33" i="12" s="1"/>
  <c r="R33" i="12"/>
  <c r="AC32" i="12"/>
  <c r="AG32" i="12" s="1"/>
  <c r="R32" i="12"/>
  <c r="AC31" i="12"/>
  <c r="AG31" i="12" s="1"/>
  <c r="R31" i="12"/>
  <c r="AC30" i="12"/>
  <c r="AG30" i="12" s="1"/>
  <c r="R30" i="12"/>
  <c r="AC29" i="12"/>
  <c r="AG29" i="12" s="1"/>
  <c r="R29" i="12"/>
  <c r="AC28" i="12"/>
  <c r="AG28" i="12" s="1"/>
  <c r="R28" i="12"/>
  <c r="AC27" i="12"/>
  <c r="AG27" i="12" s="1"/>
  <c r="R27" i="12"/>
  <c r="AC26" i="12"/>
  <c r="AG26" i="12" s="1"/>
  <c r="R26" i="12"/>
  <c r="AC25" i="12"/>
  <c r="AG25" i="12" s="1"/>
  <c r="R25" i="12"/>
  <c r="AC24" i="12"/>
  <c r="AG24" i="12" s="1"/>
  <c r="R24" i="12"/>
  <c r="AC23" i="12"/>
  <c r="AG23" i="12" s="1"/>
  <c r="R23" i="12"/>
  <c r="AC22" i="12"/>
  <c r="AG22" i="12" s="1"/>
  <c r="R22" i="12"/>
  <c r="AC21" i="12"/>
  <c r="AG21" i="12" s="1"/>
  <c r="R21" i="12"/>
  <c r="AC20" i="12"/>
  <c r="AG20" i="12" s="1"/>
  <c r="R20" i="12"/>
  <c r="AC19" i="12"/>
  <c r="AG19" i="12" s="1"/>
  <c r="R19" i="12"/>
  <c r="AC18" i="12"/>
  <c r="AG18" i="12" s="1"/>
  <c r="R18" i="12"/>
  <c r="AC17" i="12"/>
  <c r="AG17" i="12" s="1"/>
  <c r="R17" i="12"/>
  <c r="AC16" i="12"/>
  <c r="AG16" i="12" s="1"/>
  <c r="R16" i="12"/>
  <c r="AC15" i="12"/>
  <c r="AG15" i="12" s="1"/>
  <c r="R15" i="12"/>
  <c r="AC14" i="12"/>
  <c r="AG14" i="12" s="1"/>
  <c r="R14" i="12"/>
  <c r="AC13" i="12"/>
  <c r="AG13" i="12" s="1"/>
  <c r="R13" i="12"/>
  <c r="AC12" i="12"/>
  <c r="AG12" i="12" s="1"/>
  <c r="R12" i="12"/>
  <c r="AC11" i="12"/>
  <c r="AG11" i="12" s="1"/>
  <c r="R11" i="12"/>
  <c r="AC10" i="12"/>
  <c r="AG10" i="12" s="1"/>
  <c r="R10" i="12"/>
  <c r="AC9" i="12"/>
  <c r="AG9" i="12" s="1"/>
  <c r="R9" i="12"/>
  <c r="AC8" i="12"/>
  <c r="AG8" i="12" s="1"/>
  <c r="R8" i="12"/>
  <c r="AC62" i="12"/>
  <c r="AG62" i="12" s="1"/>
  <c r="R62" i="12"/>
  <c r="AC61" i="12"/>
  <c r="AG61" i="12" s="1"/>
  <c r="R61" i="12"/>
  <c r="AC60" i="12"/>
  <c r="AG60" i="12" s="1"/>
  <c r="R60" i="12"/>
  <c r="AC59" i="12"/>
  <c r="AG59" i="12" s="1"/>
  <c r="R59" i="12"/>
  <c r="AC58" i="12"/>
  <c r="AG58" i="12" s="1"/>
  <c r="R58" i="12"/>
  <c r="AC57" i="12"/>
  <c r="AG57" i="12" s="1"/>
  <c r="R57" i="12"/>
  <c r="AC56" i="12"/>
  <c r="AG56" i="12" s="1"/>
  <c r="R56" i="12"/>
  <c r="AC55" i="12"/>
  <c r="AG55" i="12" s="1"/>
  <c r="R55" i="12"/>
  <c r="AC54" i="12"/>
  <c r="AG54" i="12" s="1"/>
  <c r="R54" i="12"/>
  <c r="AC53" i="12"/>
  <c r="AG53" i="12" s="1"/>
  <c r="R53" i="12"/>
  <c r="AC52" i="12"/>
  <c r="AG52" i="12" s="1"/>
  <c r="R52" i="12"/>
  <c r="AC51" i="12"/>
  <c r="AG51" i="12" s="1"/>
  <c r="R51" i="12"/>
  <c r="AC50" i="12"/>
  <c r="AG50" i="12" s="1"/>
  <c r="R50" i="12"/>
  <c r="AC49" i="12"/>
  <c r="AG49" i="12" s="1"/>
  <c r="R49" i="12"/>
  <c r="AC48" i="12"/>
  <c r="AG48" i="12" s="1"/>
  <c r="R48" i="12"/>
  <c r="AC47" i="12"/>
  <c r="AG47" i="12" s="1"/>
  <c r="R47" i="12"/>
  <c r="AC46" i="12"/>
  <c r="AG46" i="12" s="1"/>
  <c r="R46" i="12"/>
  <c r="AC45" i="12"/>
  <c r="AG45" i="12" s="1"/>
  <c r="R45" i="12"/>
  <c r="AC44" i="12"/>
  <c r="AG44" i="12" s="1"/>
  <c r="R44" i="12"/>
  <c r="AC43" i="12"/>
  <c r="AG43" i="12" s="1"/>
  <c r="R43" i="12"/>
  <c r="AC42" i="12"/>
  <c r="AG42" i="12" s="1"/>
  <c r="R42" i="12"/>
  <c r="AC41" i="12"/>
  <c r="AG41" i="12" s="1"/>
  <c r="R41" i="12"/>
  <c r="AC40" i="12"/>
  <c r="AG40" i="12" s="1"/>
  <c r="R40" i="12"/>
  <c r="AC39" i="12"/>
  <c r="AG39" i="12" s="1"/>
  <c r="R39" i="12"/>
  <c r="AC38" i="12"/>
  <c r="AG38" i="12" s="1"/>
  <c r="R38" i="12"/>
  <c r="AC37" i="12"/>
  <c r="AG37" i="12" s="1"/>
  <c r="R37" i="12"/>
  <c r="AC36" i="12"/>
  <c r="AG36" i="12" s="1"/>
  <c r="R36" i="12"/>
  <c r="AC35" i="12"/>
  <c r="AG35" i="12" s="1"/>
  <c r="R35" i="12"/>
  <c r="AC34" i="12"/>
  <c r="AG34" i="12" s="1"/>
  <c r="R34" i="12"/>
  <c r="AC73" i="12"/>
  <c r="AG73" i="12" s="1"/>
  <c r="R73" i="12"/>
  <c r="AC72" i="12"/>
  <c r="AG72" i="12" s="1"/>
  <c r="R72" i="12"/>
  <c r="AC71" i="12"/>
  <c r="AG71" i="12" s="1"/>
  <c r="R71" i="12"/>
  <c r="AC70" i="12"/>
  <c r="AG70" i="12" s="1"/>
  <c r="R70" i="12"/>
  <c r="AC69" i="12"/>
  <c r="AG69" i="12" s="1"/>
  <c r="R69" i="12"/>
  <c r="AC68" i="12"/>
  <c r="AG68" i="12" s="1"/>
  <c r="R68" i="12"/>
  <c r="AC67" i="12"/>
  <c r="AG67" i="12" s="1"/>
  <c r="R67" i="12"/>
  <c r="AC66" i="12"/>
  <c r="AG66" i="12" s="1"/>
  <c r="R66" i="12"/>
  <c r="AC65" i="12"/>
  <c r="AG65" i="12" s="1"/>
  <c r="R65" i="12"/>
  <c r="AC64" i="12"/>
  <c r="AG64" i="12" s="1"/>
  <c r="R64" i="12"/>
  <c r="AC63" i="12"/>
  <c r="AG63" i="12" s="1"/>
  <c r="R63" i="12"/>
  <c r="BC2" i="12" a="1"/>
  <c r="BC2" i="12" s="1"/>
  <c r="BC3" i="12" a="1"/>
  <c r="BC3" i="12" s="1"/>
  <c r="BC1" i="12" a="1"/>
  <c r="BC1" i="12" s="1"/>
  <c r="AW3" i="11" a="1"/>
  <c r="AW3" i="11" s="1"/>
  <c r="AW2" i="11" a="1"/>
  <c r="AW2" i="11" s="1"/>
  <c r="AW1" i="11" a="1"/>
  <c r="AW1" i="11" s="1"/>
  <c r="AA5" i="11"/>
  <c r="R5" i="11"/>
  <c r="AA6" i="11"/>
  <c r="R6" i="11"/>
  <c r="AA7" i="11"/>
  <c r="R7" i="11"/>
  <c r="AA8" i="11"/>
  <c r="R8" i="11"/>
  <c r="AA9" i="11"/>
  <c r="R9" i="11"/>
  <c r="AA10" i="11"/>
  <c r="R10" i="11"/>
  <c r="AA11" i="11"/>
  <c r="R11" i="11"/>
  <c r="AA12" i="11"/>
  <c r="R12" i="11"/>
  <c r="AA13" i="11"/>
  <c r="R13" i="11"/>
  <c r="AA14" i="11"/>
  <c r="R14" i="11"/>
  <c r="AA15" i="11"/>
  <c r="R15" i="11"/>
  <c r="AA16" i="11"/>
  <c r="R16" i="11"/>
  <c r="AA17" i="11"/>
  <c r="R17" i="11"/>
  <c r="AA18" i="11"/>
  <c r="R18" i="11"/>
  <c r="AA19" i="11"/>
  <c r="R19" i="11"/>
  <c r="AA20" i="11"/>
  <c r="R20" i="11"/>
  <c r="AA21" i="11"/>
  <c r="R21" i="11"/>
  <c r="AA22" i="11"/>
  <c r="R22" i="11"/>
  <c r="AA23" i="11"/>
  <c r="R23" i="11"/>
  <c r="AA24" i="11"/>
  <c r="R24" i="11"/>
  <c r="AA25" i="11"/>
  <c r="R25" i="11"/>
  <c r="AA26" i="11"/>
  <c r="R26" i="11"/>
  <c r="AA27" i="11"/>
  <c r="R27" i="11"/>
  <c r="AA28" i="11"/>
  <c r="R28" i="11"/>
  <c r="AA29" i="11"/>
  <c r="R29" i="11"/>
  <c r="AA30" i="11"/>
  <c r="R30" i="11"/>
  <c r="AA31" i="11"/>
  <c r="R31" i="11"/>
  <c r="AA32" i="11"/>
  <c r="R32" i="11"/>
  <c r="AA33" i="11"/>
  <c r="R33" i="11"/>
  <c r="AA34" i="11"/>
  <c r="R34" i="11"/>
  <c r="AA35" i="11"/>
  <c r="R35" i="11"/>
  <c r="AA36" i="11"/>
  <c r="R36" i="11"/>
  <c r="AA37" i="11"/>
  <c r="R37" i="11"/>
  <c r="AA38" i="11"/>
  <c r="R38" i="11"/>
  <c r="AA39" i="11"/>
  <c r="R39" i="11"/>
  <c r="AA40" i="11"/>
  <c r="R40" i="11"/>
  <c r="AA41" i="11"/>
  <c r="R41" i="11"/>
  <c r="AA42" i="11"/>
  <c r="R42" i="11"/>
  <c r="AA43" i="11"/>
  <c r="R43" i="11"/>
  <c r="T74" i="10" l="1"/>
  <c r="U74" i="10" a="1"/>
  <c r="U74" i="10" s="1"/>
  <c r="AH32" i="12" a="1"/>
  <c r="AH32" i="12" s="1"/>
  <c r="AF32" i="12"/>
  <c r="U32" i="12"/>
  <c r="V32" i="12"/>
  <c r="AF66" i="12"/>
  <c r="U66" i="12"/>
  <c r="V66" i="12"/>
  <c r="AH66" i="12" a="1"/>
  <c r="AH66" i="12" s="1"/>
  <c r="AF34" i="12"/>
  <c r="U34" i="12"/>
  <c r="V34" i="12"/>
  <c r="AH34" i="12" a="1"/>
  <c r="AH34" i="12" s="1"/>
  <c r="AF42" i="12"/>
  <c r="U42" i="12"/>
  <c r="V42" i="12"/>
  <c r="AH42" i="12" a="1"/>
  <c r="AH42" i="12" s="1"/>
  <c r="AF50" i="12"/>
  <c r="U50" i="12"/>
  <c r="V50" i="12"/>
  <c r="AH50" i="12" a="1"/>
  <c r="AH50" i="12" s="1"/>
  <c r="AF58" i="12"/>
  <c r="U58" i="12"/>
  <c r="V58" i="12"/>
  <c r="AH58" i="12" a="1"/>
  <c r="AH58" i="12" s="1"/>
  <c r="V11" i="12"/>
  <c r="AF11" i="12"/>
  <c r="U11" i="12"/>
  <c r="AH11" i="12" a="1"/>
  <c r="AH11" i="12" s="1"/>
  <c r="AH19" i="12" a="1"/>
  <c r="AH19" i="12" s="1"/>
  <c r="AF19" i="12"/>
  <c r="U19" i="12"/>
  <c r="V19" i="12"/>
  <c r="V27" i="12"/>
  <c r="AF27" i="12"/>
  <c r="U27" i="12"/>
  <c r="AH27" i="12" a="1"/>
  <c r="AH27" i="12" s="1"/>
  <c r="AH6" i="12" a="1"/>
  <c r="AH6" i="12" s="1"/>
  <c r="AF6" i="12"/>
  <c r="U6" i="12"/>
  <c r="V6" i="12"/>
  <c r="AH55" i="12" a="1"/>
  <c r="AH55" i="12" s="1"/>
  <c r="AF55" i="12"/>
  <c r="U55" i="12"/>
  <c r="V55" i="12"/>
  <c r="AH47" i="12" a="1"/>
  <c r="AH47" i="12" s="1"/>
  <c r="AF47" i="12"/>
  <c r="U47" i="12"/>
  <c r="V47" i="12"/>
  <c r="AF67" i="12"/>
  <c r="U67" i="12"/>
  <c r="V67" i="12"/>
  <c r="AH67" i="12" a="1"/>
  <c r="AH67" i="12" s="1"/>
  <c r="AF35" i="12"/>
  <c r="U35" i="12"/>
  <c r="V35" i="12"/>
  <c r="AH35" i="12" a="1"/>
  <c r="AH35" i="12" s="1"/>
  <c r="V43" i="12"/>
  <c r="AF43" i="12"/>
  <c r="U43" i="12"/>
  <c r="AH43" i="12" a="1"/>
  <c r="AH43" i="12" s="1"/>
  <c r="V51" i="12"/>
  <c r="AF51" i="12"/>
  <c r="U51" i="12"/>
  <c r="AH51" i="12" a="1"/>
  <c r="AH51" i="12" s="1"/>
  <c r="V59" i="12"/>
  <c r="AF59" i="12"/>
  <c r="U59" i="12"/>
  <c r="AH59" i="12" a="1"/>
  <c r="AH59" i="12" s="1"/>
  <c r="AF12" i="12"/>
  <c r="U12" i="12"/>
  <c r="V12" i="12"/>
  <c r="AH12" i="12" a="1"/>
  <c r="AH12" i="12" s="1"/>
  <c r="AH20" i="12" a="1"/>
  <c r="AH20" i="12" s="1"/>
  <c r="AF20" i="12"/>
  <c r="U20" i="12"/>
  <c r="V20" i="12"/>
  <c r="AF28" i="12"/>
  <c r="U28" i="12"/>
  <c r="V28" i="12"/>
  <c r="AH28" i="12" a="1"/>
  <c r="AH28" i="12" s="1"/>
  <c r="AH7" i="12" a="1"/>
  <c r="AH7" i="12" s="1"/>
  <c r="AF7" i="12"/>
  <c r="U7" i="12"/>
  <c r="V7" i="12"/>
  <c r="AF71" i="12"/>
  <c r="U71" i="12"/>
  <c r="V71" i="12"/>
  <c r="AH71" i="12" a="1"/>
  <c r="AH71" i="12" s="1"/>
  <c r="AF16" i="12"/>
  <c r="U16" i="12"/>
  <c r="AH16" i="12" a="1"/>
  <c r="AH16" i="12" s="1"/>
  <c r="V16" i="12"/>
  <c r="AF68" i="12"/>
  <c r="U68" i="12"/>
  <c r="V68" i="12"/>
  <c r="AH68" i="12" a="1"/>
  <c r="AH68" i="12" s="1"/>
  <c r="AF44" i="12"/>
  <c r="U44" i="12"/>
  <c r="V44" i="12"/>
  <c r="AH44" i="12" a="1"/>
  <c r="AH44" i="12" s="1"/>
  <c r="AH21" i="12" a="1"/>
  <c r="AH21" i="12" s="1"/>
  <c r="AF21" i="12"/>
  <c r="U21" i="12"/>
  <c r="V21" i="12"/>
  <c r="AH39" i="12" a="1"/>
  <c r="AH39" i="12" s="1"/>
  <c r="AF39" i="12"/>
  <c r="U39" i="12"/>
  <c r="V39" i="12"/>
  <c r="AH24" i="12" a="1"/>
  <c r="AH24" i="12" s="1"/>
  <c r="AF24" i="12"/>
  <c r="U24" i="12"/>
  <c r="V24" i="12"/>
  <c r="AF36" i="12"/>
  <c r="U36" i="12"/>
  <c r="AH36" i="12" a="1"/>
  <c r="AH36" i="12" s="1"/>
  <c r="V36" i="12"/>
  <c r="AF52" i="12"/>
  <c r="U52" i="12"/>
  <c r="V52" i="12"/>
  <c r="AH52" i="12" a="1"/>
  <c r="AH52" i="12" s="1"/>
  <c r="AH60" i="12" a="1"/>
  <c r="AH60" i="12" s="1"/>
  <c r="AF60" i="12"/>
  <c r="U60" i="12"/>
  <c r="V60" i="12"/>
  <c r="AF13" i="12"/>
  <c r="U13" i="12"/>
  <c r="V13" i="12"/>
  <c r="AH13" i="12" a="1"/>
  <c r="AH13" i="12" s="1"/>
  <c r="AF29" i="12"/>
  <c r="U29" i="12"/>
  <c r="V29" i="12"/>
  <c r="AH29" i="12" a="1"/>
  <c r="AH29" i="12" s="1"/>
  <c r="AF69" i="12"/>
  <c r="U69" i="12"/>
  <c r="V69" i="12"/>
  <c r="AH69" i="12" a="1"/>
  <c r="AH69" i="12" s="1"/>
  <c r="AH37" i="12" a="1"/>
  <c r="AH37" i="12" s="1"/>
  <c r="AF37" i="12"/>
  <c r="U37" i="12"/>
  <c r="V37" i="12"/>
  <c r="AF45" i="12"/>
  <c r="U45" i="12"/>
  <c r="V45" i="12"/>
  <c r="AH45" i="12" a="1"/>
  <c r="AH45" i="12" s="1"/>
  <c r="AF53" i="12"/>
  <c r="U53" i="12"/>
  <c r="V53" i="12"/>
  <c r="AH53" i="12" a="1"/>
  <c r="AH53" i="12" s="1"/>
  <c r="AH61" i="12" a="1"/>
  <c r="AH61" i="12" s="1"/>
  <c r="AF61" i="12"/>
  <c r="U61" i="12"/>
  <c r="V61" i="12"/>
  <c r="AF14" i="12"/>
  <c r="U14" i="12"/>
  <c r="V14" i="12"/>
  <c r="AH14" i="12" a="1"/>
  <c r="AH14" i="12" s="1"/>
  <c r="AH22" i="12" a="1"/>
  <c r="AH22" i="12" s="1"/>
  <c r="AF22" i="12"/>
  <c r="U22" i="12"/>
  <c r="V22" i="12"/>
  <c r="AF30" i="12"/>
  <c r="U30" i="12"/>
  <c r="V30" i="12"/>
  <c r="AH30" i="12" a="1"/>
  <c r="AH30" i="12" s="1"/>
  <c r="AF70" i="12"/>
  <c r="U70" i="12"/>
  <c r="V70" i="12"/>
  <c r="AH70" i="12" a="1"/>
  <c r="AH70" i="12" s="1"/>
  <c r="AH38" i="12" a="1"/>
  <c r="AH38" i="12" s="1"/>
  <c r="AF38" i="12"/>
  <c r="U38" i="12"/>
  <c r="V38" i="12"/>
  <c r="AH46" i="12" a="1"/>
  <c r="AH46" i="12" s="1"/>
  <c r="AF46" i="12"/>
  <c r="U46" i="12"/>
  <c r="V46" i="12"/>
  <c r="AF54" i="12"/>
  <c r="U54" i="12"/>
  <c r="AH54" i="12" a="1"/>
  <c r="AH54" i="12" s="1"/>
  <c r="V54" i="12"/>
  <c r="AH62" i="12" a="1"/>
  <c r="AH62" i="12" s="1"/>
  <c r="AF62" i="12"/>
  <c r="U62" i="12"/>
  <c r="V62" i="12"/>
  <c r="AF15" i="12"/>
  <c r="U15" i="12"/>
  <c r="V15" i="12"/>
  <c r="AH15" i="12" a="1"/>
  <c r="AH15" i="12" s="1"/>
  <c r="AH23" i="12" a="1"/>
  <c r="AH23" i="12" s="1"/>
  <c r="AF23" i="12"/>
  <c r="U23" i="12"/>
  <c r="V23" i="12"/>
  <c r="AH31" i="12" a="1"/>
  <c r="AH31" i="12" s="1"/>
  <c r="AF31" i="12"/>
  <c r="U31" i="12"/>
  <c r="V31" i="12"/>
  <c r="AH64" i="12" a="1"/>
  <c r="AH64" i="12" s="1"/>
  <c r="AF64" i="12"/>
  <c r="U64" i="12"/>
  <c r="V64" i="12"/>
  <c r="AF72" i="12"/>
  <c r="U72" i="12"/>
  <c r="AH72" i="12" a="1"/>
  <c r="AH72" i="12" s="1"/>
  <c r="V72" i="12"/>
  <c r="AH40" i="12" a="1"/>
  <c r="AH40" i="12" s="1"/>
  <c r="AF40" i="12"/>
  <c r="U40" i="12"/>
  <c r="V40" i="12"/>
  <c r="AH48" i="12" a="1"/>
  <c r="AH48" i="12" s="1"/>
  <c r="AF48" i="12"/>
  <c r="U48" i="12"/>
  <c r="V48" i="12"/>
  <c r="AH56" i="12" a="1"/>
  <c r="AH56" i="12" s="1"/>
  <c r="AF56" i="12"/>
  <c r="U56" i="12"/>
  <c r="V56" i="12"/>
  <c r="AH9" i="12" a="1"/>
  <c r="AH9" i="12" s="1"/>
  <c r="V9" i="12"/>
  <c r="AF9" i="12"/>
  <c r="U9" i="12"/>
  <c r="V17" i="12"/>
  <c r="AH17" i="12" a="1"/>
  <c r="AH17" i="12" s="1"/>
  <c r="AF17" i="12"/>
  <c r="U17" i="12"/>
  <c r="AH25" i="12" a="1"/>
  <c r="AH25" i="12" s="1"/>
  <c r="V25" i="12"/>
  <c r="AF25" i="12"/>
  <c r="U25" i="12"/>
  <c r="AH33" i="12" a="1"/>
  <c r="AH33" i="12" s="1"/>
  <c r="V33" i="12"/>
  <c r="AF33" i="12"/>
  <c r="U33" i="12"/>
  <c r="AH63" i="12" a="1"/>
  <c r="AH63" i="12" s="1"/>
  <c r="AF63" i="12"/>
  <c r="U63" i="12"/>
  <c r="V63" i="12"/>
  <c r="AH8" i="12" a="1"/>
  <c r="AH8" i="12" s="1"/>
  <c r="AF8" i="12"/>
  <c r="U8" i="12"/>
  <c r="V8" i="12"/>
  <c r="AH65" i="12" a="1"/>
  <c r="AH65" i="12" s="1"/>
  <c r="V65" i="12"/>
  <c r="AF65" i="12"/>
  <c r="U65" i="12"/>
  <c r="V73" i="12"/>
  <c r="AH73" i="12" a="1"/>
  <c r="AH73" i="12" s="1"/>
  <c r="AF73" i="12"/>
  <c r="U73" i="12"/>
  <c r="AH41" i="12" a="1"/>
  <c r="AH41" i="12" s="1"/>
  <c r="AF41" i="12"/>
  <c r="U41" i="12"/>
  <c r="V41" i="12"/>
  <c r="AH49" i="12" a="1"/>
  <c r="AH49" i="12" s="1"/>
  <c r="V49" i="12"/>
  <c r="AF49" i="12"/>
  <c r="U49" i="12"/>
  <c r="V57" i="12"/>
  <c r="AH57" i="12" a="1"/>
  <c r="AH57" i="12" s="1"/>
  <c r="AF57" i="12"/>
  <c r="U57" i="12"/>
  <c r="AF10" i="12"/>
  <c r="AE10" i="12" s="1"/>
  <c r="U10" i="12"/>
  <c r="V10" i="12"/>
  <c r="AH10" i="12" a="1"/>
  <c r="AH10" i="12" s="1"/>
  <c r="AH18" i="12" a="1"/>
  <c r="AH18" i="12" s="1"/>
  <c r="AF18" i="12"/>
  <c r="U18" i="12"/>
  <c r="V18" i="12"/>
  <c r="AF26" i="12"/>
  <c r="U26" i="12"/>
  <c r="V26" i="12"/>
  <c r="AH26" i="12" a="1"/>
  <c r="AH26" i="12" s="1"/>
  <c r="AH5" i="12" a="1"/>
  <c r="AH5" i="12" s="1"/>
  <c r="AF5" i="12"/>
  <c r="U5" i="12"/>
  <c r="V5" i="12"/>
  <c r="AE23" i="11"/>
  <c r="AF23" i="11" a="1"/>
  <c r="AF23" i="11" s="1"/>
  <c r="AD23" i="11"/>
  <c r="AG42" i="11" a="1"/>
  <c r="AG42" i="11" s="1"/>
  <c r="AD42" i="11"/>
  <c r="AF42" i="11" a="1"/>
  <c r="AF42" i="11" s="1"/>
  <c r="AE42" i="11"/>
  <c r="AC42" i="11" s="1"/>
  <c r="AF6" i="11" a="1"/>
  <c r="AF6" i="11" s="1"/>
  <c r="AD6" i="11"/>
  <c r="AE6" i="11"/>
  <c r="AG21" i="11" a="1"/>
  <c r="AG21" i="11" s="1"/>
  <c r="AF21" i="11" a="1"/>
  <c r="AF21" i="11" s="1"/>
  <c r="AD21" i="11"/>
  <c r="AE21" i="11"/>
  <c r="AC21" i="11" s="1"/>
  <c r="AD13" i="11"/>
  <c r="AE13" i="11"/>
  <c r="AF13" i="11" a="1"/>
  <c r="AF13" i="11" s="1"/>
  <c r="AD43" i="11"/>
  <c r="AC43" i="11" s="1"/>
  <c r="AE43" i="11"/>
  <c r="AF43" i="11" a="1"/>
  <c r="AF43" i="11" s="1"/>
  <c r="AD35" i="11"/>
  <c r="AF35" i="11" a="1"/>
  <c r="AF35" i="11" s="1"/>
  <c r="AE35" i="11"/>
  <c r="AC35" i="11" s="1"/>
  <c r="AD27" i="11"/>
  <c r="AE27" i="11"/>
  <c r="AF27" i="11" a="1"/>
  <c r="AF27" i="11" s="1"/>
  <c r="AF19" i="11" a="1"/>
  <c r="AF19" i="11" s="1"/>
  <c r="AD19" i="11"/>
  <c r="AE19" i="11"/>
  <c r="AD11" i="11"/>
  <c r="AE11" i="11"/>
  <c r="AF11" i="11" a="1"/>
  <c r="AF11" i="11" s="1"/>
  <c r="AD26" i="11"/>
  <c r="AE26" i="11"/>
  <c r="AF26" i="11" a="1"/>
  <c r="AF26" i="11" s="1"/>
  <c r="AF17" i="11" a="1"/>
  <c r="AF17" i="11" s="1"/>
  <c r="AD17" i="11"/>
  <c r="AE17" i="11"/>
  <c r="AG39" i="11" a="1"/>
  <c r="AG39" i="11" s="1"/>
  <c r="AE39" i="11"/>
  <c r="AF39" i="11" a="1"/>
  <c r="AF39" i="11" s="1"/>
  <c r="AD39" i="11"/>
  <c r="AE7" i="11"/>
  <c r="AC7" i="11" s="1"/>
  <c r="AF7" i="11" a="1"/>
  <c r="AF7" i="11" s="1"/>
  <c r="AD7" i="11"/>
  <c r="AD34" i="11"/>
  <c r="AE34" i="11"/>
  <c r="AF34" i="11" a="1"/>
  <c r="AF34" i="11" s="1"/>
  <c r="AD10" i="11"/>
  <c r="AE10" i="11"/>
  <c r="AF10" i="11" a="1"/>
  <c r="AF10" i="11" s="1"/>
  <c r="AD41" i="11"/>
  <c r="AE41" i="11"/>
  <c r="AF41" i="11" a="1"/>
  <c r="AF41" i="11" s="1"/>
  <c r="AD25" i="11"/>
  <c r="AE25" i="11"/>
  <c r="AF25" i="11" a="1"/>
  <c r="AF25" i="11" s="1"/>
  <c r="AD9" i="11"/>
  <c r="AE9" i="11"/>
  <c r="AC9" i="11" s="1"/>
  <c r="AF9" i="11" a="1"/>
  <c r="AF9" i="11" s="1"/>
  <c r="AE40" i="11"/>
  <c r="AF40" i="11" a="1"/>
  <c r="AF40" i="11" s="1"/>
  <c r="AD40" i="11"/>
  <c r="AF32" i="11" a="1"/>
  <c r="AF32" i="11" s="1"/>
  <c r="AD32" i="11"/>
  <c r="AE32" i="11"/>
  <c r="AG24" i="11" a="1"/>
  <c r="AG24" i="11" s="1"/>
  <c r="AE24" i="11"/>
  <c r="AF24" i="11" a="1"/>
  <c r="AF24" i="11" s="1"/>
  <c r="AD24" i="11"/>
  <c r="AG16" i="11" a="1"/>
  <c r="AG16" i="11" s="1"/>
  <c r="AD16" i="11"/>
  <c r="AF16" i="11" a="1"/>
  <c r="AF16" i="11" s="1"/>
  <c r="AE16" i="11"/>
  <c r="AF8" i="11" a="1"/>
  <c r="AF8" i="11" s="1"/>
  <c r="AE8" i="11"/>
  <c r="AC8" i="11" s="1"/>
  <c r="AD8" i="11"/>
  <c r="AG15" i="11" a="1"/>
  <c r="AG15" i="11" s="1"/>
  <c r="AE15" i="11"/>
  <c r="AD15" i="11"/>
  <c r="AC15" i="11" s="1"/>
  <c r="AF15" i="11" a="1"/>
  <c r="AF15" i="11" s="1"/>
  <c r="AG18" i="11" a="1"/>
  <c r="AG18" i="11" s="1"/>
  <c r="AF18" i="11" a="1"/>
  <c r="AF18" i="11" s="1"/>
  <c r="AD18" i="11"/>
  <c r="AE18" i="11"/>
  <c r="AD33" i="11"/>
  <c r="AC33" i="11" s="1"/>
  <c r="AE33" i="11"/>
  <c r="AF33" i="11" a="1"/>
  <c r="AF33" i="11" s="1"/>
  <c r="AF30" i="11" a="1"/>
  <c r="AF30" i="11" s="1"/>
  <c r="AD30" i="11"/>
  <c r="AE30" i="11"/>
  <c r="AC30" i="11" s="1"/>
  <c r="AF22" i="11" a="1"/>
  <c r="AF22" i="11" s="1"/>
  <c r="AD22" i="11"/>
  <c r="AE22" i="11"/>
  <c r="AD29" i="11"/>
  <c r="AE29" i="11"/>
  <c r="AC29" i="11" s="1"/>
  <c r="AF29" i="11" a="1"/>
  <c r="AF29" i="11" s="1"/>
  <c r="AF38" i="11" a="1"/>
  <c r="AF38" i="11" s="1"/>
  <c r="AD38" i="11"/>
  <c r="AE38" i="11"/>
  <c r="AF14" i="11" a="1"/>
  <c r="AF14" i="11" s="1"/>
  <c r="AD14" i="11"/>
  <c r="AE14" i="11"/>
  <c r="AF37" i="11" a="1"/>
  <c r="AF37" i="11" s="1"/>
  <c r="AD37" i="11"/>
  <c r="AE37" i="11"/>
  <c r="AG5" i="11" a="1"/>
  <c r="AG5" i="11" s="1"/>
  <c r="AF5" i="11" a="1"/>
  <c r="AF5" i="11" s="1"/>
  <c r="AD5" i="11"/>
  <c r="AE5" i="11"/>
  <c r="AC5" i="11" s="1"/>
  <c r="AF31" i="11" a="1"/>
  <c r="AF31" i="11" s="1"/>
  <c r="AE31" i="11"/>
  <c r="AD31" i="11"/>
  <c r="AC31" i="11" s="1"/>
  <c r="AG36" i="11" a="1"/>
  <c r="AG36" i="11" s="1"/>
  <c r="AF36" i="11" a="1"/>
  <c r="AF36" i="11" s="1"/>
  <c r="AD36" i="11"/>
  <c r="AE36" i="11"/>
  <c r="AG28" i="11" a="1"/>
  <c r="AG28" i="11" s="1"/>
  <c r="AF28" i="11" a="1"/>
  <c r="AF28" i="11" s="1"/>
  <c r="AD28" i="11"/>
  <c r="AE28" i="11"/>
  <c r="AG20" i="11" a="1"/>
  <c r="AG20" i="11" s="1"/>
  <c r="AF20" i="11" a="1"/>
  <c r="AF20" i="11" s="1"/>
  <c r="AD20" i="11"/>
  <c r="AE20" i="11"/>
  <c r="AD12" i="11"/>
  <c r="AE12" i="11"/>
  <c r="AF12" i="11" a="1"/>
  <c r="AF12" i="11" s="1"/>
  <c r="U78" i="10" a="1"/>
  <c r="U78" i="10" s="1"/>
  <c r="T78" i="10"/>
  <c r="AF18" i="10" a="1"/>
  <c r="AF18" i="10" s="1"/>
  <c r="AD18" i="10"/>
  <c r="AE18" i="10"/>
  <c r="AD41" i="10"/>
  <c r="AF41" i="10" a="1"/>
  <c r="AF41" i="10" s="1"/>
  <c r="AE41" i="10"/>
  <c r="AF34" i="10" a="1"/>
  <c r="AF34" i="10" s="1"/>
  <c r="AD34" i="10"/>
  <c r="AE34" i="10"/>
  <c r="AF42" i="10" a="1"/>
  <c r="AF42" i="10" s="1"/>
  <c r="AD42" i="10"/>
  <c r="AE42" i="10"/>
  <c r="AD57" i="10"/>
  <c r="AE57" i="10"/>
  <c r="AF57" i="10" a="1"/>
  <c r="AF57" i="10" s="1"/>
  <c r="AD17" i="10"/>
  <c r="AE17" i="10"/>
  <c r="AF17" i="10" a="1"/>
  <c r="AF17" i="10" s="1"/>
  <c r="AF48" i="10" a="1"/>
  <c r="AF48" i="10" s="1"/>
  <c r="AD48" i="10"/>
  <c r="AE48" i="10"/>
  <c r="AF24" i="10" a="1"/>
  <c r="AF24" i="10" s="1"/>
  <c r="AD24" i="10"/>
  <c r="AE24" i="10"/>
  <c r="AF8" i="10" a="1"/>
  <c r="AF8" i="10" s="1"/>
  <c r="AD8" i="10"/>
  <c r="AE8" i="10"/>
  <c r="AF55" i="10" a="1"/>
  <c r="AF55" i="10" s="1"/>
  <c r="AD55" i="10"/>
  <c r="AE55" i="10"/>
  <c r="AD15" i="10"/>
  <c r="AE15" i="10"/>
  <c r="AF15" i="10" a="1"/>
  <c r="AF15" i="10" s="1"/>
  <c r="AF50" i="10" a="1"/>
  <c r="AF50" i="10" s="1"/>
  <c r="AD50" i="10"/>
  <c r="AE50" i="10"/>
  <c r="AD31" i="10"/>
  <c r="AE31" i="10"/>
  <c r="AF31" i="10" a="1"/>
  <c r="AF31" i="10" s="1"/>
  <c r="AD54" i="10"/>
  <c r="AE54" i="10"/>
  <c r="AF54" i="10" a="1"/>
  <c r="AF54" i="10" s="1"/>
  <c r="AF46" i="10" a="1"/>
  <c r="AF46" i="10" s="1"/>
  <c r="AD46" i="10"/>
  <c r="AE46" i="10"/>
  <c r="AD38" i="10"/>
  <c r="AE38" i="10"/>
  <c r="AF38" i="10" a="1"/>
  <c r="AF38" i="10" s="1"/>
  <c r="AD30" i="10"/>
  <c r="AE30" i="10"/>
  <c r="AF30" i="10" a="1"/>
  <c r="AF30" i="10" s="1"/>
  <c r="AD22" i="10"/>
  <c r="AE22" i="10"/>
  <c r="AF22" i="10" a="1"/>
  <c r="AF22" i="10" s="1"/>
  <c r="AD14" i="10"/>
  <c r="AE14" i="10"/>
  <c r="AF14" i="10" a="1"/>
  <c r="AF14" i="10" s="1"/>
  <c r="AF6" i="10" a="1"/>
  <c r="AF6" i="10" s="1"/>
  <c r="AD6" i="10"/>
  <c r="AE6" i="10"/>
  <c r="AD58" i="10"/>
  <c r="AF58" i="10" a="1"/>
  <c r="AF58" i="10" s="1"/>
  <c r="AE58" i="10"/>
  <c r="AF10" i="10" a="1"/>
  <c r="AF10" i="10" s="1"/>
  <c r="AD10" i="10"/>
  <c r="AE10" i="10"/>
  <c r="AF33" i="10" a="1"/>
  <c r="AF33" i="10" s="1"/>
  <c r="AD33" i="10"/>
  <c r="AE33" i="10"/>
  <c r="AD25" i="10"/>
  <c r="AF25" i="10" a="1"/>
  <c r="AF25" i="10" s="1"/>
  <c r="AE25" i="10"/>
  <c r="AD9" i="10"/>
  <c r="AF9" i="10" a="1"/>
  <c r="AF9" i="10" s="1"/>
  <c r="AE9" i="10"/>
  <c r="AF40" i="10" a="1"/>
  <c r="AF40" i="10" s="1"/>
  <c r="AD40" i="10"/>
  <c r="AE40" i="10"/>
  <c r="AD16" i="10"/>
  <c r="AE16" i="10"/>
  <c r="AF16" i="10" a="1"/>
  <c r="AF16" i="10" s="1"/>
  <c r="AD39" i="10"/>
  <c r="AE39" i="10"/>
  <c r="AF39" i="10" a="1"/>
  <c r="AF39" i="10" s="1"/>
  <c r="AF7" i="10" a="1"/>
  <c r="AF7" i="10" s="1"/>
  <c r="AD7" i="10"/>
  <c r="AE7" i="10"/>
  <c r="AD56" i="10"/>
  <c r="AE56" i="10"/>
  <c r="AF56" i="10" a="1"/>
  <c r="AF56" i="10" s="1"/>
  <c r="AF32" i="10" a="1"/>
  <c r="AF32" i="10" s="1"/>
  <c r="AD32" i="10"/>
  <c r="AE32" i="10"/>
  <c r="AF47" i="10" a="1"/>
  <c r="AF47" i="10" s="1"/>
  <c r="AD47" i="10"/>
  <c r="AE47" i="10"/>
  <c r="AD23" i="10"/>
  <c r="AF23" i="10" a="1"/>
  <c r="AF23" i="10" s="1"/>
  <c r="AE23" i="10"/>
  <c r="AD61" i="10"/>
  <c r="AE61" i="10"/>
  <c r="AF61" i="10" a="1"/>
  <c r="AF61" i="10" s="1"/>
  <c r="AD53" i="10"/>
  <c r="AE53" i="10"/>
  <c r="AF53" i="10" a="1"/>
  <c r="AF53" i="10" s="1"/>
  <c r="AD45" i="10"/>
  <c r="AE45" i="10"/>
  <c r="AF45" i="10" a="1"/>
  <c r="AF45" i="10" s="1"/>
  <c r="AD37" i="10"/>
  <c r="AE37" i="10"/>
  <c r="AF37" i="10" a="1"/>
  <c r="AF37" i="10" s="1"/>
  <c r="AD29" i="10"/>
  <c r="AE29" i="10"/>
  <c r="AF29" i="10" a="1"/>
  <c r="AF29" i="10" s="1"/>
  <c r="AD21" i="10"/>
  <c r="AE21" i="10"/>
  <c r="AF21" i="10" a="1"/>
  <c r="AF21" i="10" s="1"/>
  <c r="AD13" i="10"/>
  <c r="AE13" i="10"/>
  <c r="AF13" i="10" a="1"/>
  <c r="AF13" i="10" s="1"/>
  <c r="AD5" i="10"/>
  <c r="AF5" i="10" a="1"/>
  <c r="AF5" i="10" s="1"/>
  <c r="AE5" i="10"/>
  <c r="AF26" i="10" a="1"/>
  <c r="AF26" i="10" s="1"/>
  <c r="AD26" i="10"/>
  <c r="AE26" i="10"/>
  <c r="AF49" i="10" a="1"/>
  <c r="AF49" i="10" s="1"/>
  <c r="AD49" i="10"/>
  <c r="AE49" i="10"/>
  <c r="AE28" i="10"/>
  <c r="AF28" i="10" a="1"/>
  <c r="AF28" i="10" s="1"/>
  <c r="AD28" i="10"/>
  <c r="AE60" i="10"/>
  <c r="AD60" i="10"/>
  <c r="AF60" i="10" a="1"/>
  <c r="AF60" i="10" s="1"/>
  <c r="AE44" i="10"/>
  <c r="AD44" i="10"/>
  <c r="AF44" i="10" a="1"/>
  <c r="AF44" i="10" s="1"/>
  <c r="AE20" i="10"/>
  <c r="AF20" i="10" a="1"/>
  <c r="AF20" i="10" s="1"/>
  <c r="AD20" i="10"/>
  <c r="AF59" i="10" a="1"/>
  <c r="AF59" i="10" s="1"/>
  <c r="AD59" i="10"/>
  <c r="AE59" i="10"/>
  <c r="AF43" i="10" a="1"/>
  <c r="AF43" i="10" s="1"/>
  <c r="AD43" i="10"/>
  <c r="AE43" i="10"/>
  <c r="AF35" i="10" a="1"/>
  <c r="AF35" i="10" s="1"/>
  <c r="AD35" i="10"/>
  <c r="AE35" i="10"/>
  <c r="AF27" i="10" a="1"/>
  <c r="AF27" i="10" s="1"/>
  <c r="AD27" i="10"/>
  <c r="AE27" i="10"/>
  <c r="AF19" i="10" a="1"/>
  <c r="AF19" i="10" s="1"/>
  <c r="AD19" i="10"/>
  <c r="AE19" i="10"/>
  <c r="AF11" i="10" a="1"/>
  <c r="AF11" i="10" s="1"/>
  <c r="AD11" i="10"/>
  <c r="AE11" i="10"/>
  <c r="AE52" i="10"/>
  <c r="AF52" i="10" a="1"/>
  <c r="AF52" i="10" s="1"/>
  <c r="AD52" i="10"/>
  <c r="AE36" i="10"/>
  <c r="AF36" i="10" a="1"/>
  <c r="AF36" i="10" s="1"/>
  <c r="AD36" i="10"/>
  <c r="AE12" i="10"/>
  <c r="AF12" i="10" a="1"/>
  <c r="AF12" i="10" s="1"/>
  <c r="AD12" i="10"/>
  <c r="AF51" i="10" a="1"/>
  <c r="AF51" i="10" s="1"/>
  <c r="AD51" i="10"/>
  <c r="AE51" i="10"/>
  <c r="U77" i="10" a="1"/>
  <c r="U77" i="10" s="1"/>
  <c r="AD12" i="7"/>
  <c r="AE12" i="7"/>
  <c r="AD5" i="7"/>
  <c r="AE5" i="7"/>
  <c r="AD27" i="7"/>
  <c r="AE27" i="7"/>
  <c r="AD19" i="7"/>
  <c r="AE19" i="7"/>
  <c r="AD11" i="7"/>
  <c r="AE11" i="7"/>
  <c r="AD28" i="7"/>
  <c r="AE28" i="7"/>
  <c r="AD21" i="7"/>
  <c r="AE21" i="7"/>
  <c r="AD20" i="7"/>
  <c r="AE20" i="7"/>
  <c r="AE26" i="7"/>
  <c r="AD26" i="7"/>
  <c r="AE18" i="7"/>
  <c r="AD18" i="7"/>
  <c r="AE10" i="7"/>
  <c r="AD10" i="7"/>
  <c r="AD29" i="7"/>
  <c r="AE29" i="7"/>
  <c r="AD9" i="7"/>
  <c r="AE9" i="7"/>
  <c r="AD25" i="7"/>
  <c r="AE25" i="7"/>
  <c r="AD24" i="7"/>
  <c r="AE24" i="7"/>
  <c r="AD16" i="7"/>
  <c r="AE16" i="7"/>
  <c r="AD8" i="7"/>
  <c r="AE8" i="7"/>
  <c r="AD13" i="7"/>
  <c r="AE13" i="7"/>
  <c r="AD17" i="7"/>
  <c r="AE17" i="7"/>
  <c r="AD23" i="7"/>
  <c r="AE23" i="7"/>
  <c r="AD15" i="7"/>
  <c r="AE15" i="7"/>
  <c r="AD7" i="7"/>
  <c r="AE7" i="7"/>
  <c r="AD31" i="7"/>
  <c r="AE31" i="7"/>
  <c r="AD30" i="7"/>
  <c r="AE30" i="7"/>
  <c r="AD22" i="7"/>
  <c r="AE22" i="7"/>
  <c r="AD14" i="7"/>
  <c r="AE14" i="7"/>
  <c r="AD6" i="7"/>
  <c r="AE6" i="7"/>
  <c r="AG37" i="11" a="1"/>
  <c r="AG37" i="11" s="1"/>
  <c r="AG29" i="11" a="1"/>
  <c r="AG29" i="11" s="1"/>
  <c r="AC17" i="11"/>
  <c r="AC18" i="11"/>
  <c r="AG22" i="11" a="1"/>
  <c r="AG22" i="11" s="1"/>
  <c r="AC41" i="11"/>
  <c r="AC12" i="11"/>
  <c r="AG8" i="11" a="1"/>
  <c r="AG8" i="11" s="1"/>
  <c r="AC16" i="11"/>
  <c r="AG17" i="11" a="1"/>
  <c r="AG17" i="11" s="1"/>
  <c r="AG23" i="11" a="1"/>
  <c r="AG23" i="11" s="1"/>
  <c r="AG25" i="11" a="1"/>
  <c r="AG25" i="11" s="1"/>
  <c r="AG13" i="11" a="1"/>
  <c r="AG13" i="11" s="1"/>
  <c r="AG26" i="11" a="1"/>
  <c r="AG26" i="11" s="1"/>
  <c r="AC27" i="11"/>
  <c r="AG27" i="11" a="1"/>
  <c r="AG27" i="11" s="1"/>
  <c r="AC23" i="11"/>
  <c r="AG6" i="11" a="1"/>
  <c r="AG6" i="11" s="1"/>
  <c r="AG30" i="11" a="1"/>
  <c r="AG30" i="11" s="1"/>
  <c r="AG9" i="11" a="1"/>
  <c r="AG9" i="11" s="1"/>
  <c r="AG33" i="11" a="1"/>
  <c r="AG33" i="11" s="1"/>
  <c r="AG35" i="11" a="1"/>
  <c r="AG35" i="11" s="1"/>
  <c r="AG40" i="11" a="1"/>
  <c r="AG40" i="11" s="1"/>
  <c r="AC6" i="11"/>
  <c r="AG11" i="11" a="1"/>
  <c r="AG11" i="11" s="1"/>
  <c r="AG7" i="11" a="1"/>
  <c r="AG7" i="11" s="1"/>
  <c r="AG31" i="11" a="1"/>
  <c r="AG31" i="11" s="1"/>
  <c r="AC32" i="11"/>
  <c r="AG34" i="11" a="1"/>
  <c r="AG34" i="11" s="1"/>
  <c r="AG38" i="11" a="1"/>
  <c r="AG38" i="11" s="1"/>
  <c r="AG32" i="11" a="1"/>
  <c r="AG32" i="11" s="1"/>
  <c r="AG12" i="11" a="1"/>
  <c r="AG12" i="11" s="1"/>
  <c r="AG41" i="11" a="1"/>
  <c r="AG41" i="11" s="1"/>
  <c r="AG43" i="11" a="1"/>
  <c r="AG43" i="11" s="1"/>
  <c r="AG14" i="11" a="1"/>
  <c r="AG14" i="11" s="1"/>
  <c r="AC38" i="11"/>
  <c r="AG10" i="11" a="1"/>
  <c r="AG10" i="11" s="1"/>
  <c r="AG19" i="11" a="1"/>
  <c r="AG19" i="11" s="1"/>
  <c r="AC39" i="11"/>
  <c r="AC22" i="11"/>
  <c r="AC24" i="11"/>
  <c r="AC26" i="11"/>
  <c r="AI37" i="12" a="1"/>
  <c r="AI37" i="12" s="1"/>
  <c r="AI38" i="12" a="1"/>
  <c r="AI38" i="12" s="1"/>
  <c r="AI46" i="12" a="1"/>
  <c r="AI46" i="12" s="1"/>
  <c r="AI54" i="12" a="1"/>
  <c r="AI54" i="12" s="1"/>
  <c r="AI62" i="12" a="1"/>
  <c r="AI62" i="12" s="1"/>
  <c r="AI15" i="12" a="1"/>
  <c r="AI15" i="12" s="1"/>
  <c r="AI23" i="12" a="1"/>
  <c r="AI23" i="12" s="1"/>
  <c r="AI31" i="12" a="1"/>
  <c r="AI31" i="12" s="1"/>
  <c r="AI53" i="12" a="1"/>
  <c r="AI53" i="12" s="1"/>
  <c r="AI30" i="12" a="1"/>
  <c r="AI30" i="12" s="1"/>
  <c r="AI45" i="12" a="1"/>
  <c r="AI45" i="12" s="1"/>
  <c r="AI22" i="12" a="1"/>
  <c r="AI22" i="12" s="1"/>
  <c r="AI70" i="12" a="1"/>
  <c r="AI70" i="12" s="1"/>
  <c r="AI63" i="12" a="1"/>
  <c r="AI63" i="12" s="1"/>
  <c r="AE63" i="12"/>
  <c r="AI71" i="12" a="1"/>
  <c r="AI71" i="12" s="1"/>
  <c r="AI39" i="12" a="1"/>
  <c r="AI39" i="12" s="1"/>
  <c r="AI47" i="12" a="1"/>
  <c r="AI47" i="12" s="1"/>
  <c r="AI55" i="12" a="1"/>
  <c r="AI55" i="12" s="1"/>
  <c r="AE55" i="12"/>
  <c r="AI8" i="12" a="1"/>
  <c r="AI8" i="12" s="1"/>
  <c r="AI16" i="12" a="1"/>
  <c r="AI16" i="12" s="1"/>
  <c r="AI24" i="12" a="1"/>
  <c r="AI24" i="12" s="1"/>
  <c r="AI32" i="12" a="1"/>
  <c r="AI32" i="12" s="1"/>
  <c r="AE32" i="12"/>
  <c r="AI64" i="12" a="1"/>
  <c r="AI64" i="12" s="1"/>
  <c r="AI72" i="12" a="1"/>
  <c r="AI72" i="12" s="1"/>
  <c r="AI40" i="12" a="1"/>
  <c r="AI40" i="12" s="1"/>
  <c r="AI48" i="12" a="1"/>
  <c r="AI48" i="12" s="1"/>
  <c r="AI56" i="12" a="1"/>
  <c r="AI56" i="12" s="1"/>
  <c r="AI9" i="12" a="1"/>
  <c r="AI9" i="12" s="1"/>
  <c r="AI17" i="12" a="1"/>
  <c r="AI17" i="12" s="1"/>
  <c r="AI25" i="12" a="1"/>
  <c r="AI25" i="12" s="1"/>
  <c r="AI33" i="12" a="1"/>
  <c r="AI33" i="12" s="1"/>
  <c r="AI57" i="12" a="1"/>
  <c r="AI57" i="12" s="1"/>
  <c r="AI69" i="12" a="1"/>
  <c r="AI69" i="12" s="1"/>
  <c r="AI14" i="12" a="1"/>
  <c r="AI14" i="12" s="1"/>
  <c r="AI26" i="12" a="1"/>
  <c r="AI26" i="12" s="1"/>
  <c r="AI66" i="12" a="1"/>
  <c r="AI66" i="12" s="1"/>
  <c r="AI34" i="12" a="1"/>
  <c r="AI34" i="12" s="1"/>
  <c r="AI42" i="12" a="1"/>
  <c r="AI42" i="12" s="1"/>
  <c r="AI50" i="12" a="1"/>
  <c r="AI50" i="12" s="1"/>
  <c r="AI58" i="12" a="1"/>
  <c r="AI58" i="12" s="1"/>
  <c r="AI11" i="12" a="1"/>
  <c r="AI11" i="12" s="1"/>
  <c r="AI19" i="12" a="1"/>
  <c r="AI19" i="12" s="1"/>
  <c r="AI27" i="12" a="1"/>
  <c r="AI27" i="12" s="1"/>
  <c r="AI6" i="12" a="1"/>
  <c r="AI6" i="12" s="1"/>
  <c r="AI61" i="12" a="1"/>
  <c r="AI61" i="12" s="1"/>
  <c r="AI73" i="12" a="1"/>
  <c r="AI73" i="12" s="1"/>
  <c r="AI18" i="12" a="1"/>
  <c r="AI18" i="12" s="1"/>
  <c r="AI49" i="12" a="1"/>
  <c r="AI49" i="12" s="1"/>
  <c r="AI10" i="12" a="1"/>
  <c r="AI10" i="12" s="1"/>
  <c r="AI5" i="12" a="1"/>
  <c r="AI5" i="12" s="1"/>
  <c r="AI67" i="12" a="1"/>
  <c r="AI67" i="12" s="1"/>
  <c r="AI35" i="12" a="1"/>
  <c r="AI35" i="12" s="1"/>
  <c r="AI43" i="12" a="1"/>
  <c r="AI43" i="12" s="1"/>
  <c r="AI51" i="12" a="1"/>
  <c r="AI51" i="12" s="1"/>
  <c r="AI59" i="12" a="1"/>
  <c r="AI59" i="12" s="1"/>
  <c r="AI12" i="12" a="1"/>
  <c r="AI12" i="12" s="1"/>
  <c r="AI20" i="12" a="1"/>
  <c r="AI20" i="12" s="1"/>
  <c r="AI28" i="12" a="1"/>
  <c r="AI28" i="12" s="1"/>
  <c r="AI7" i="12" a="1"/>
  <c r="AI7" i="12" s="1"/>
  <c r="AI65" i="12" a="1"/>
  <c r="AI65" i="12" s="1"/>
  <c r="AI41" i="12" a="1"/>
  <c r="AI41" i="12" s="1"/>
  <c r="AI68" i="12" a="1"/>
  <c r="AI68" i="12" s="1"/>
  <c r="AI36" i="12" a="1"/>
  <c r="AI36" i="12" s="1"/>
  <c r="AI44" i="12" a="1"/>
  <c r="AI44" i="12" s="1"/>
  <c r="AI52" i="12" a="1"/>
  <c r="AI52" i="12" s="1"/>
  <c r="AI60" i="12" a="1"/>
  <c r="AI60" i="12" s="1"/>
  <c r="AI13" i="12" a="1"/>
  <c r="AI13" i="12" s="1"/>
  <c r="AI21" i="12" a="1"/>
  <c r="AI21" i="12" s="1"/>
  <c r="AI29" i="12" a="1"/>
  <c r="AI29" i="12" s="1"/>
  <c r="T5" i="12"/>
  <c r="V73" i="10" a="1"/>
  <c r="V73" i="10" s="1"/>
  <c r="U73" i="10" a="1"/>
  <c r="U73" i="10" s="1"/>
  <c r="T73" i="10"/>
  <c r="V72" i="10" a="1"/>
  <c r="V72" i="10" s="1"/>
  <c r="U72" i="10" a="1"/>
  <c r="U72" i="10" s="1"/>
  <c r="T72" i="10"/>
  <c r="V71" i="10" a="1"/>
  <c r="V71" i="10" s="1"/>
  <c r="U71" i="10" a="1"/>
  <c r="U71" i="10" s="1"/>
  <c r="T71" i="10"/>
  <c r="V70" i="10" a="1"/>
  <c r="V70" i="10" s="1"/>
  <c r="U70" i="10" a="1"/>
  <c r="U70" i="10" s="1"/>
  <c r="T70" i="10"/>
  <c r="V69" i="10" a="1"/>
  <c r="V69" i="10" s="1"/>
  <c r="U69" i="10" a="1"/>
  <c r="U69" i="10" s="1"/>
  <c r="T69" i="10"/>
  <c r="V68" i="10" a="1"/>
  <c r="V68" i="10" s="1"/>
  <c r="U68" i="10" a="1"/>
  <c r="U68" i="10" s="1"/>
  <c r="T68" i="10"/>
  <c r="V67" i="10" a="1"/>
  <c r="V67" i="10" s="1"/>
  <c r="U67" i="10" a="1"/>
  <c r="U67" i="10" s="1"/>
  <c r="T67" i="10"/>
  <c r="V66" i="10" a="1"/>
  <c r="V66" i="10" s="1"/>
  <c r="U66" i="10" a="1"/>
  <c r="U66" i="10" s="1"/>
  <c r="T66" i="10"/>
  <c r="V65" i="10" a="1"/>
  <c r="V65" i="10" s="1"/>
  <c r="U65" i="10" a="1"/>
  <c r="U65" i="10" s="1"/>
  <c r="T65" i="10"/>
  <c r="V64" i="10" a="1"/>
  <c r="V64" i="10" s="1"/>
  <c r="U64" i="10" a="1"/>
  <c r="U64" i="10" s="1"/>
  <c r="T64" i="10"/>
  <c r="V63" i="10" a="1"/>
  <c r="V63" i="10" s="1"/>
  <c r="U63" i="10" a="1"/>
  <c r="U63" i="10" s="1"/>
  <c r="T63" i="10"/>
  <c r="V62" i="10" a="1"/>
  <c r="V62" i="10" s="1"/>
  <c r="U62" i="10" a="1"/>
  <c r="U62" i="10" s="1"/>
  <c r="T62" i="10"/>
  <c r="AG61" i="10" a="1"/>
  <c r="AG61" i="10" s="1"/>
  <c r="V61" i="10" a="1"/>
  <c r="V61" i="10" s="1"/>
  <c r="U61" i="10" a="1"/>
  <c r="U61" i="10" s="1"/>
  <c r="T61" i="10"/>
  <c r="AG60" i="10" a="1"/>
  <c r="AG60" i="10" s="1"/>
  <c r="V60" i="10" a="1"/>
  <c r="V60" i="10" s="1"/>
  <c r="U60" i="10" a="1"/>
  <c r="U60" i="10" s="1"/>
  <c r="T60" i="10"/>
  <c r="AG59" i="10" a="1"/>
  <c r="AG59" i="10" s="1"/>
  <c r="V59" i="10" a="1"/>
  <c r="V59" i="10" s="1"/>
  <c r="U59" i="10" a="1"/>
  <c r="U59" i="10" s="1"/>
  <c r="T59" i="10"/>
  <c r="AG58" i="10" a="1"/>
  <c r="AG58" i="10" s="1"/>
  <c r="V58" i="10" a="1"/>
  <c r="V58" i="10" s="1"/>
  <c r="U58" i="10" a="1"/>
  <c r="U58" i="10" s="1"/>
  <c r="T58" i="10"/>
  <c r="AG57" i="10" a="1"/>
  <c r="AG57" i="10" s="1"/>
  <c r="V57" i="10" a="1"/>
  <c r="V57" i="10" s="1"/>
  <c r="U57" i="10" a="1"/>
  <c r="U57" i="10" s="1"/>
  <c r="T57" i="10"/>
  <c r="AG56" i="10" a="1"/>
  <c r="AG56" i="10" s="1"/>
  <c r="V56" i="10" a="1"/>
  <c r="V56" i="10" s="1"/>
  <c r="U56" i="10" a="1"/>
  <c r="U56" i="10" s="1"/>
  <c r="T56" i="10"/>
  <c r="AG55" i="10" a="1"/>
  <c r="AG55" i="10" s="1"/>
  <c r="V55" i="10" a="1"/>
  <c r="V55" i="10" s="1"/>
  <c r="U55" i="10" a="1"/>
  <c r="U55" i="10" s="1"/>
  <c r="T55" i="10"/>
  <c r="AG54" i="10" a="1"/>
  <c r="AG54" i="10" s="1"/>
  <c r="V54" i="10" a="1"/>
  <c r="V54" i="10" s="1"/>
  <c r="U54" i="10" a="1"/>
  <c r="U54" i="10" s="1"/>
  <c r="T54" i="10"/>
  <c r="AG53" i="10" a="1"/>
  <c r="AG53" i="10" s="1"/>
  <c r="V53" i="10" a="1"/>
  <c r="V53" i="10" s="1"/>
  <c r="U53" i="10" a="1"/>
  <c r="U53" i="10" s="1"/>
  <c r="T53" i="10"/>
  <c r="AG52" i="10" a="1"/>
  <c r="AG52" i="10" s="1"/>
  <c r="V52" i="10" a="1"/>
  <c r="V52" i="10" s="1"/>
  <c r="U52" i="10" a="1"/>
  <c r="U52" i="10" s="1"/>
  <c r="T52" i="10"/>
  <c r="AG51" i="10" a="1"/>
  <c r="AG51" i="10" s="1"/>
  <c r="V51" i="10" a="1"/>
  <c r="V51" i="10" s="1"/>
  <c r="U51" i="10" a="1"/>
  <c r="U51" i="10" s="1"/>
  <c r="T51" i="10"/>
  <c r="AG50" i="10" a="1"/>
  <c r="AG50" i="10" s="1"/>
  <c r="V50" i="10" a="1"/>
  <c r="V50" i="10" s="1"/>
  <c r="U50" i="10" a="1"/>
  <c r="U50" i="10" s="1"/>
  <c r="T50" i="10"/>
  <c r="AG49" i="10" a="1"/>
  <c r="AG49" i="10" s="1"/>
  <c r="V49" i="10" a="1"/>
  <c r="V49" i="10" s="1"/>
  <c r="U49" i="10" a="1"/>
  <c r="U49" i="10" s="1"/>
  <c r="T49" i="10"/>
  <c r="AG48" i="10" a="1"/>
  <c r="AG48" i="10" s="1"/>
  <c r="V48" i="10" a="1"/>
  <c r="V48" i="10" s="1"/>
  <c r="U48" i="10" a="1"/>
  <c r="U48" i="10" s="1"/>
  <c r="T48" i="10"/>
  <c r="AG47" i="10" a="1"/>
  <c r="AG47" i="10" s="1"/>
  <c r="V47" i="10" a="1"/>
  <c r="V47" i="10" s="1"/>
  <c r="U47" i="10" a="1"/>
  <c r="U47" i="10" s="1"/>
  <c r="T47" i="10"/>
  <c r="AG46" i="10" a="1"/>
  <c r="AG46" i="10" s="1"/>
  <c r="V46" i="10" a="1"/>
  <c r="V46" i="10" s="1"/>
  <c r="U46" i="10" a="1"/>
  <c r="U46" i="10" s="1"/>
  <c r="T46" i="10"/>
  <c r="AG45" i="10" a="1"/>
  <c r="AG45" i="10" s="1"/>
  <c r="V45" i="10" a="1"/>
  <c r="V45" i="10" s="1"/>
  <c r="U45" i="10" a="1"/>
  <c r="U45" i="10" s="1"/>
  <c r="T45" i="10"/>
  <c r="AG44" i="10" a="1"/>
  <c r="AG44" i="10" s="1"/>
  <c r="V44" i="10" a="1"/>
  <c r="V44" i="10" s="1"/>
  <c r="U44" i="10" a="1"/>
  <c r="U44" i="10" s="1"/>
  <c r="T44" i="10"/>
  <c r="AG43" i="10" a="1"/>
  <c r="AG43" i="10" s="1"/>
  <c r="V43" i="10" a="1"/>
  <c r="V43" i="10" s="1"/>
  <c r="U43" i="10" a="1"/>
  <c r="U43" i="10" s="1"/>
  <c r="T43" i="10"/>
  <c r="AG42" i="10" a="1"/>
  <c r="AG42" i="10" s="1"/>
  <c r="V42" i="10" a="1"/>
  <c r="V42" i="10" s="1"/>
  <c r="U42" i="10" a="1"/>
  <c r="U42" i="10" s="1"/>
  <c r="T42" i="10"/>
  <c r="AG41" i="10" a="1"/>
  <c r="AG41" i="10" s="1"/>
  <c r="V41" i="10" a="1"/>
  <c r="V41" i="10" s="1"/>
  <c r="U41" i="10" a="1"/>
  <c r="U41" i="10" s="1"/>
  <c r="T41" i="10"/>
  <c r="AG40" i="10" a="1"/>
  <c r="AG40" i="10" s="1"/>
  <c r="V40" i="10" a="1"/>
  <c r="V40" i="10" s="1"/>
  <c r="U40" i="10" a="1"/>
  <c r="U40" i="10" s="1"/>
  <c r="T40" i="10"/>
  <c r="AG39" i="10" a="1"/>
  <c r="AG39" i="10" s="1"/>
  <c r="V39" i="10" a="1"/>
  <c r="V39" i="10" s="1"/>
  <c r="U39" i="10" a="1"/>
  <c r="U39" i="10" s="1"/>
  <c r="T39" i="10"/>
  <c r="AG38" i="10" a="1"/>
  <c r="AG38" i="10" s="1"/>
  <c r="V38" i="10" a="1"/>
  <c r="V38" i="10" s="1"/>
  <c r="U38" i="10" a="1"/>
  <c r="U38" i="10" s="1"/>
  <c r="T38" i="10"/>
  <c r="AG37" i="10" a="1"/>
  <c r="AG37" i="10" s="1"/>
  <c r="V37" i="10" a="1"/>
  <c r="V37" i="10" s="1"/>
  <c r="U37" i="10" a="1"/>
  <c r="U37" i="10" s="1"/>
  <c r="T37" i="10"/>
  <c r="AG36" i="10" a="1"/>
  <c r="AG36" i="10" s="1"/>
  <c r="V36" i="10" a="1"/>
  <c r="V36" i="10" s="1"/>
  <c r="U36" i="10" a="1"/>
  <c r="U36" i="10" s="1"/>
  <c r="T36" i="10"/>
  <c r="AG35" i="10" a="1"/>
  <c r="AG35" i="10" s="1"/>
  <c r="V35" i="10" a="1"/>
  <c r="V35" i="10" s="1"/>
  <c r="U35" i="10" a="1"/>
  <c r="U35" i="10" s="1"/>
  <c r="T35" i="10"/>
  <c r="AG34" i="10" a="1"/>
  <c r="AG34" i="10" s="1"/>
  <c r="V34" i="10" a="1"/>
  <c r="V34" i="10" s="1"/>
  <c r="U34" i="10" a="1"/>
  <c r="U34" i="10" s="1"/>
  <c r="T34" i="10"/>
  <c r="AG33" i="10" a="1"/>
  <c r="AG33" i="10" s="1"/>
  <c r="V33" i="10" a="1"/>
  <c r="V33" i="10" s="1"/>
  <c r="U33" i="10" a="1"/>
  <c r="U33" i="10" s="1"/>
  <c r="T33" i="10"/>
  <c r="AG32" i="10" a="1"/>
  <c r="AG32" i="10" s="1"/>
  <c r="V32" i="10" a="1"/>
  <c r="V32" i="10" s="1"/>
  <c r="U32" i="10" a="1"/>
  <c r="U32" i="10" s="1"/>
  <c r="T32" i="10"/>
  <c r="AG31" i="10" a="1"/>
  <c r="AG31" i="10" s="1"/>
  <c r="V31" i="10" a="1"/>
  <c r="V31" i="10" s="1"/>
  <c r="U31" i="10" a="1"/>
  <c r="U31" i="10" s="1"/>
  <c r="T31" i="10"/>
  <c r="AG30" i="10" a="1"/>
  <c r="AG30" i="10" s="1"/>
  <c r="V30" i="10" a="1"/>
  <c r="V30" i="10" s="1"/>
  <c r="U30" i="10" a="1"/>
  <c r="U30" i="10" s="1"/>
  <c r="T30" i="10"/>
  <c r="AG29" i="10" a="1"/>
  <c r="AG29" i="10" s="1"/>
  <c r="V29" i="10" a="1"/>
  <c r="V29" i="10" s="1"/>
  <c r="U29" i="10" a="1"/>
  <c r="U29" i="10" s="1"/>
  <c r="T29" i="10"/>
  <c r="AG28" i="10" a="1"/>
  <c r="AG28" i="10" s="1"/>
  <c r="V28" i="10" a="1"/>
  <c r="V28" i="10" s="1"/>
  <c r="U28" i="10" a="1"/>
  <c r="U28" i="10" s="1"/>
  <c r="T28" i="10"/>
  <c r="AG27" i="10" a="1"/>
  <c r="AG27" i="10" s="1"/>
  <c r="V27" i="10" a="1"/>
  <c r="V27" i="10" s="1"/>
  <c r="U27" i="10" a="1"/>
  <c r="U27" i="10" s="1"/>
  <c r="T27" i="10"/>
  <c r="AG26" i="10" a="1"/>
  <c r="AG26" i="10" s="1"/>
  <c r="V26" i="10" a="1"/>
  <c r="V26" i="10" s="1"/>
  <c r="U26" i="10" a="1"/>
  <c r="U26" i="10" s="1"/>
  <c r="T26" i="10"/>
  <c r="AG25" i="10" a="1"/>
  <c r="AG25" i="10" s="1"/>
  <c r="V25" i="10" a="1"/>
  <c r="V25" i="10" s="1"/>
  <c r="U25" i="10" a="1"/>
  <c r="U25" i="10" s="1"/>
  <c r="T25" i="10"/>
  <c r="AG24" i="10" a="1"/>
  <c r="AG24" i="10" s="1"/>
  <c r="V24" i="10" a="1"/>
  <c r="V24" i="10" s="1"/>
  <c r="U24" i="10" a="1"/>
  <c r="U24" i="10" s="1"/>
  <c r="T24" i="10"/>
  <c r="AG23" i="10" a="1"/>
  <c r="AG23" i="10" s="1"/>
  <c r="V23" i="10" a="1"/>
  <c r="V23" i="10" s="1"/>
  <c r="U23" i="10" a="1"/>
  <c r="U23" i="10" s="1"/>
  <c r="T23" i="10"/>
  <c r="AG22" i="10" a="1"/>
  <c r="AG22" i="10" s="1"/>
  <c r="V22" i="10" a="1"/>
  <c r="V22" i="10" s="1"/>
  <c r="U22" i="10" a="1"/>
  <c r="U22" i="10" s="1"/>
  <c r="T22" i="10"/>
  <c r="AG21" i="10" a="1"/>
  <c r="AG21" i="10" s="1"/>
  <c r="V21" i="10" a="1"/>
  <c r="V21" i="10" s="1"/>
  <c r="U21" i="10" a="1"/>
  <c r="U21" i="10" s="1"/>
  <c r="T21" i="10"/>
  <c r="AG20" i="10" a="1"/>
  <c r="AG20" i="10" s="1"/>
  <c r="V20" i="10" a="1"/>
  <c r="V20" i="10" s="1"/>
  <c r="U20" i="10" a="1"/>
  <c r="U20" i="10" s="1"/>
  <c r="T20" i="10"/>
  <c r="AG19" i="10" a="1"/>
  <c r="AG19" i="10" s="1"/>
  <c r="V19" i="10" a="1"/>
  <c r="V19" i="10" s="1"/>
  <c r="U19" i="10" a="1"/>
  <c r="U19" i="10" s="1"/>
  <c r="T19" i="10"/>
  <c r="AG18" i="10" a="1"/>
  <c r="AG18" i="10" s="1"/>
  <c r="V18" i="10" a="1"/>
  <c r="V18" i="10" s="1"/>
  <c r="U18" i="10" a="1"/>
  <c r="U18" i="10" s="1"/>
  <c r="T18" i="10"/>
  <c r="AG17" i="10" a="1"/>
  <c r="AG17" i="10" s="1"/>
  <c r="V17" i="10" a="1"/>
  <c r="V17" i="10" s="1"/>
  <c r="U17" i="10" a="1"/>
  <c r="U17" i="10" s="1"/>
  <c r="T17" i="10"/>
  <c r="AG16" i="10" a="1"/>
  <c r="AG16" i="10" s="1"/>
  <c r="V16" i="10" a="1"/>
  <c r="V16" i="10" s="1"/>
  <c r="U16" i="10" a="1"/>
  <c r="U16" i="10" s="1"/>
  <c r="T16" i="10"/>
  <c r="AG15" i="10" a="1"/>
  <c r="AG15" i="10" s="1"/>
  <c r="V15" i="10" a="1"/>
  <c r="V15" i="10" s="1"/>
  <c r="U15" i="10" a="1"/>
  <c r="U15" i="10" s="1"/>
  <c r="T15" i="10"/>
  <c r="AG14" i="10" a="1"/>
  <c r="AG14" i="10" s="1"/>
  <c r="V14" i="10" a="1"/>
  <c r="V14" i="10" s="1"/>
  <c r="U14" i="10" a="1"/>
  <c r="U14" i="10" s="1"/>
  <c r="T14" i="10"/>
  <c r="AG13" i="10" a="1"/>
  <c r="AG13" i="10" s="1"/>
  <c r="V13" i="10" a="1"/>
  <c r="V13" i="10" s="1"/>
  <c r="U13" i="10" a="1"/>
  <c r="U13" i="10" s="1"/>
  <c r="T13" i="10"/>
  <c r="AG12" i="10" a="1"/>
  <c r="AG12" i="10" s="1"/>
  <c r="V12" i="10" a="1"/>
  <c r="V12" i="10" s="1"/>
  <c r="U12" i="10" a="1"/>
  <c r="U12" i="10" s="1"/>
  <c r="T12" i="10"/>
  <c r="AG11" i="10" a="1"/>
  <c r="AG11" i="10" s="1"/>
  <c r="V11" i="10" a="1"/>
  <c r="V11" i="10" s="1"/>
  <c r="U11" i="10" a="1"/>
  <c r="U11" i="10" s="1"/>
  <c r="T11" i="10"/>
  <c r="AG10" i="10" a="1"/>
  <c r="AG10" i="10" s="1"/>
  <c r="V10" i="10" a="1"/>
  <c r="V10" i="10" s="1"/>
  <c r="U10" i="10" a="1"/>
  <c r="U10" i="10" s="1"/>
  <c r="T10" i="10"/>
  <c r="AG9" i="10" a="1"/>
  <c r="AG9" i="10" s="1"/>
  <c r="V9" i="10" a="1"/>
  <c r="V9" i="10" s="1"/>
  <c r="U9" i="10" a="1"/>
  <c r="U9" i="10" s="1"/>
  <c r="T9" i="10"/>
  <c r="AG8" i="10" a="1"/>
  <c r="AG8" i="10" s="1"/>
  <c r="V8" i="10" a="1"/>
  <c r="V8" i="10" s="1"/>
  <c r="U8" i="10" a="1"/>
  <c r="U8" i="10" s="1"/>
  <c r="T8" i="10"/>
  <c r="AG7" i="10" a="1"/>
  <c r="AG7" i="10" s="1"/>
  <c r="V7" i="10" a="1"/>
  <c r="V7" i="10" s="1"/>
  <c r="U7" i="10" a="1"/>
  <c r="U7" i="10" s="1"/>
  <c r="T7" i="10"/>
  <c r="AG6" i="10" a="1"/>
  <c r="AG6" i="10" s="1"/>
  <c r="V6" i="10" a="1"/>
  <c r="V6" i="10" s="1"/>
  <c r="U6" i="10" a="1"/>
  <c r="U6" i="10" s="1"/>
  <c r="T6" i="10"/>
  <c r="AG5" i="10" a="1"/>
  <c r="AG5" i="10" s="1"/>
  <c r="V5" i="10" a="1"/>
  <c r="V5" i="10" s="1"/>
  <c r="U5" i="10" a="1"/>
  <c r="U5" i="10" s="1"/>
  <c r="T5" i="10"/>
  <c r="AA2" i="10"/>
  <c r="R2" i="10"/>
  <c r="AA3" i="10"/>
  <c r="R3" i="10"/>
  <c r="AA4" i="10"/>
  <c r="R4" i="10"/>
  <c r="AG31" i="7" a="1"/>
  <c r="AG31" i="7" s="1"/>
  <c r="AG30" i="7" a="1"/>
  <c r="AG30" i="7" s="1"/>
  <c r="AG29" i="7" a="1"/>
  <c r="AG29" i="7" s="1"/>
  <c r="AG28" i="7" a="1"/>
  <c r="AG28" i="7" s="1"/>
  <c r="AG27" i="7" a="1"/>
  <c r="AG27" i="7" s="1"/>
  <c r="AG26" i="7" a="1"/>
  <c r="AG26" i="7" s="1"/>
  <c r="AG25" i="7" a="1"/>
  <c r="AG25" i="7" s="1"/>
  <c r="AG24" i="7" a="1"/>
  <c r="AG24" i="7" s="1"/>
  <c r="AG23" i="7" a="1"/>
  <c r="AG23" i="7" s="1"/>
  <c r="AG22" i="7" a="1"/>
  <c r="AG22" i="7" s="1"/>
  <c r="AG21" i="7" a="1"/>
  <c r="AG21" i="7" s="1"/>
  <c r="AG20" i="7" a="1"/>
  <c r="AG20" i="7" s="1"/>
  <c r="AG19" i="7" a="1"/>
  <c r="AG19" i="7" s="1"/>
  <c r="AG18" i="7" a="1"/>
  <c r="AG18" i="7" s="1"/>
  <c r="AG17" i="7" a="1"/>
  <c r="AG17" i="7" s="1"/>
  <c r="AG16" i="7" a="1"/>
  <c r="AG16" i="7" s="1"/>
  <c r="AG15" i="7" a="1"/>
  <c r="AG15" i="7" s="1"/>
  <c r="AG14" i="7" a="1"/>
  <c r="AG14" i="7" s="1"/>
  <c r="AG13" i="7" a="1"/>
  <c r="AG13" i="7" s="1"/>
  <c r="AG12" i="7" a="1"/>
  <c r="AG12" i="7" s="1"/>
  <c r="AG11" i="7" a="1"/>
  <c r="AG11" i="7" s="1"/>
  <c r="AG10" i="7" a="1"/>
  <c r="AG10" i="7" s="1"/>
  <c r="AG9" i="7" a="1"/>
  <c r="AG9" i="7" s="1"/>
  <c r="AG8" i="7" a="1"/>
  <c r="AG8" i="7" s="1"/>
  <c r="AG7" i="7" a="1"/>
  <c r="AG7" i="7" s="1"/>
  <c r="AG6" i="7" a="1"/>
  <c r="AG6" i="7" s="1"/>
  <c r="AG5" i="7" a="1"/>
  <c r="AG5" i="7" s="1"/>
  <c r="V31" i="7" a="1"/>
  <c r="V31" i="7" s="1"/>
  <c r="U31" i="7" a="1"/>
  <c r="U31" i="7" s="1"/>
  <c r="T31" i="7"/>
  <c r="V30" i="7" a="1"/>
  <c r="V30" i="7" s="1"/>
  <c r="U30" i="7" a="1"/>
  <c r="U30" i="7" s="1"/>
  <c r="T30" i="7"/>
  <c r="V29" i="7" a="1"/>
  <c r="V29" i="7" s="1"/>
  <c r="U29" i="7" a="1"/>
  <c r="U29" i="7" s="1"/>
  <c r="T29" i="7"/>
  <c r="V28" i="7" a="1"/>
  <c r="V28" i="7" s="1"/>
  <c r="U28" i="7" a="1"/>
  <c r="U28" i="7" s="1"/>
  <c r="T28" i="7"/>
  <c r="V27" i="7" a="1"/>
  <c r="V27" i="7" s="1"/>
  <c r="U27" i="7" a="1"/>
  <c r="U27" i="7" s="1"/>
  <c r="T27" i="7"/>
  <c r="V26" i="7" a="1"/>
  <c r="V26" i="7" s="1"/>
  <c r="U26" i="7" a="1"/>
  <c r="U26" i="7" s="1"/>
  <c r="T26" i="7"/>
  <c r="V25" i="7" a="1"/>
  <c r="V25" i="7" s="1"/>
  <c r="U25" i="7" a="1"/>
  <c r="U25" i="7" s="1"/>
  <c r="T25" i="7"/>
  <c r="V24" i="7" a="1"/>
  <c r="V24" i="7" s="1"/>
  <c r="U24" i="7" a="1"/>
  <c r="U24" i="7" s="1"/>
  <c r="T24" i="7"/>
  <c r="V23" i="7" a="1"/>
  <c r="V23" i="7" s="1"/>
  <c r="U23" i="7" a="1"/>
  <c r="U23" i="7" s="1"/>
  <c r="T23" i="7"/>
  <c r="V22" i="7" a="1"/>
  <c r="V22" i="7" s="1"/>
  <c r="U22" i="7" a="1"/>
  <c r="U22" i="7" s="1"/>
  <c r="T22" i="7"/>
  <c r="V21" i="7" a="1"/>
  <c r="V21" i="7" s="1"/>
  <c r="U21" i="7" a="1"/>
  <c r="U21" i="7" s="1"/>
  <c r="T21" i="7"/>
  <c r="V20" i="7" a="1"/>
  <c r="V20" i="7" s="1"/>
  <c r="U20" i="7" a="1"/>
  <c r="U20" i="7" s="1"/>
  <c r="T20" i="7"/>
  <c r="V19" i="7" a="1"/>
  <c r="V19" i="7" s="1"/>
  <c r="U19" i="7" a="1"/>
  <c r="U19" i="7" s="1"/>
  <c r="T19" i="7"/>
  <c r="V18" i="7" a="1"/>
  <c r="V18" i="7" s="1"/>
  <c r="U18" i="7" a="1"/>
  <c r="U18" i="7" s="1"/>
  <c r="T18" i="7"/>
  <c r="V17" i="7" a="1"/>
  <c r="V17" i="7" s="1"/>
  <c r="U17" i="7" a="1"/>
  <c r="U17" i="7" s="1"/>
  <c r="T17" i="7"/>
  <c r="V16" i="7" a="1"/>
  <c r="V16" i="7" s="1"/>
  <c r="U16" i="7" a="1"/>
  <c r="U16" i="7" s="1"/>
  <c r="T16" i="7"/>
  <c r="V15" i="7" a="1"/>
  <c r="V15" i="7" s="1"/>
  <c r="U15" i="7" a="1"/>
  <c r="U15" i="7" s="1"/>
  <c r="T15" i="7"/>
  <c r="V14" i="7" a="1"/>
  <c r="V14" i="7" s="1"/>
  <c r="U14" i="7" a="1"/>
  <c r="U14" i="7" s="1"/>
  <c r="T14" i="7"/>
  <c r="V13" i="7" a="1"/>
  <c r="V13" i="7" s="1"/>
  <c r="U13" i="7" a="1"/>
  <c r="U13" i="7" s="1"/>
  <c r="T13" i="7"/>
  <c r="V12" i="7" a="1"/>
  <c r="V12" i="7" s="1"/>
  <c r="U12" i="7" a="1"/>
  <c r="U12" i="7" s="1"/>
  <c r="T12" i="7"/>
  <c r="V11" i="7" a="1"/>
  <c r="V11" i="7" s="1"/>
  <c r="U11" i="7" a="1"/>
  <c r="U11" i="7" s="1"/>
  <c r="T11" i="7"/>
  <c r="V10" i="7" a="1"/>
  <c r="V10" i="7" s="1"/>
  <c r="U10" i="7" a="1"/>
  <c r="U10" i="7" s="1"/>
  <c r="T10" i="7"/>
  <c r="V9" i="7" a="1"/>
  <c r="V9" i="7" s="1"/>
  <c r="U9" i="7" a="1"/>
  <c r="U9" i="7" s="1"/>
  <c r="T9" i="7"/>
  <c r="V8" i="7" a="1"/>
  <c r="V8" i="7" s="1"/>
  <c r="U8" i="7" a="1"/>
  <c r="U8" i="7" s="1"/>
  <c r="T8" i="7"/>
  <c r="V7" i="7" a="1"/>
  <c r="V7" i="7" s="1"/>
  <c r="U7" i="7" a="1"/>
  <c r="U7" i="7" s="1"/>
  <c r="T7" i="7"/>
  <c r="V6" i="7" a="1"/>
  <c r="V6" i="7" s="1"/>
  <c r="U6" i="7" a="1"/>
  <c r="U6" i="7" s="1"/>
  <c r="T6" i="7"/>
  <c r="V5" i="7" a="1"/>
  <c r="V5" i="7" s="1"/>
  <c r="U5" i="7" a="1"/>
  <c r="U5" i="7" s="1"/>
  <c r="T5" i="7"/>
  <c r="AA2" i="7"/>
  <c r="R2" i="7"/>
  <c r="AA3" i="7"/>
  <c r="AF3" i="7" s="1" a="1"/>
  <c r="AF3" i="7" s="1"/>
  <c r="R3" i="7"/>
  <c r="AA4" i="7"/>
  <c r="AF4" i="7" s="1" a="1"/>
  <c r="AF4" i="7" s="1"/>
  <c r="R4" i="7"/>
  <c r="AC2" i="12"/>
  <c r="AQ7" i="12" s="1"/>
  <c r="R2" i="12"/>
  <c r="AC4" i="12"/>
  <c r="AG4" i="12" s="1"/>
  <c r="R4" i="12"/>
  <c r="AC3" i="12"/>
  <c r="AG3" i="12" s="1"/>
  <c r="R3" i="12"/>
  <c r="X63" i="12" a="1"/>
  <c r="X63" i="12" s="1"/>
  <c r="W63" i="12" a="1"/>
  <c r="W63" i="12" s="1"/>
  <c r="X64" i="12" a="1"/>
  <c r="X64" i="12" s="1"/>
  <c r="W64" i="12" a="1"/>
  <c r="W64" i="12" s="1"/>
  <c r="X65" i="12" a="1"/>
  <c r="X65" i="12" s="1"/>
  <c r="W65" i="12" a="1"/>
  <c r="W65" i="12" s="1"/>
  <c r="X66" i="12" a="1"/>
  <c r="X66" i="12" s="1"/>
  <c r="W66" i="12" a="1"/>
  <c r="W66" i="12" s="1"/>
  <c r="X67" i="12" a="1"/>
  <c r="X67" i="12" s="1"/>
  <c r="W67" i="12" a="1"/>
  <c r="W67" i="12" s="1"/>
  <c r="X68" i="12" a="1"/>
  <c r="X68" i="12" s="1"/>
  <c r="W68" i="12" a="1"/>
  <c r="W68" i="12" s="1"/>
  <c r="X69" i="12" a="1"/>
  <c r="X69" i="12" s="1"/>
  <c r="W69" i="12" a="1"/>
  <c r="W69" i="12" s="1"/>
  <c r="X70" i="12" a="1"/>
  <c r="X70" i="12" s="1"/>
  <c r="W70" i="12" a="1"/>
  <c r="W70" i="12" s="1"/>
  <c r="X71" i="12" a="1"/>
  <c r="X71" i="12" s="1"/>
  <c r="W71" i="12" a="1"/>
  <c r="W71" i="12" s="1"/>
  <c r="X72" i="12" a="1"/>
  <c r="X72" i="12" s="1"/>
  <c r="W72" i="12" a="1"/>
  <c r="W72" i="12" s="1"/>
  <c r="X73" i="12" a="1"/>
  <c r="X73" i="12" s="1"/>
  <c r="W73" i="12" a="1"/>
  <c r="W73" i="12" s="1"/>
  <c r="X34" i="12" a="1"/>
  <c r="X34" i="12" s="1"/>
  <c r="W34" i="12" a="1"/>
  <c r="W34" i="12" s="1"/>
  <c r="X35" i="12" a="1"/>
  <c r="X35" i="12" s="1"/>
  <c r="W35" i="12" a="1"/>
  <c r="W35" i="12" s="1"/>
  <c r="X36" i="12" a="1"/>
  <c r="X36" i="12" s="1"/>
  <c r="W36" i="12" a="1"/>
  <c r="W36" i="12" s="1"/>
  <c r="X37" i="12" a="1"/>
  <c r="X37" i="12" s="1"/>
  <c r="W37" i="12" a="1"/>
  <c r="W37" i="12" s="1"/>
  <c r="X38" i="12" a="1"/>
  <c r="X38" i="12" s="1"/>
  <c r="W38" i="12" a="1"/>
  <c r="W38" i="12" s="1"/>
  <c r="X39" i="12" a="1"/>
  <c r="X39" i="12" s="1"/>
  <c r="W39" i="12" a="1"/>
  <c r="W39" i="12" s="1"/>
  <c r="X40" i="12" a="1"/>
  <c r="X40" i="12" s="1"/>
  <c r="W40" i="12" a="1"/>
  <c r="W40" i="12" s="1"/>
  <c r="X41" i="12" a="1"/>
  <c r="X41" i="12" s="1"/>
  <c r="W41" i="12" a="1"/>
  <c r="W41" i="12" s="1"/>
  <c r="X42" i="12" a="1"/>
  <c r="X42" i="12" s="1"/>
  <c r="W42" i="12" a="1"/>
  <c r="W42" i="12" s="1"/>
  <c r="X43" i="12" a="1"/>
  <c r="X43" i="12" s="1"/>
  <c r="W43" i="12" a="1"/>
  <c r="W43" i="12" s="1"/>
  <c r="X44" i="12" a="1"/>
  <c r="X44" i="12" s="1"/>
  <c r="W44" i="12" a="1"/>
  <c r="W44" i="12" s="1"/>
  <c r="X45" i="12" a="1"/>
  <c r="X45" i="12" s="1"/>
  <c r="W45" i="12" a="1"/>
  <c r="W45" i="12" s="1"/>
  <c r="X46" i="12" a="1"/>
  <c r="X46" i="12" s="1"/>
  <c r="W46" i="12" a="1"/>
  <c r="W46" i="12" s="1"/>
  <c r="X47" i="12" a="1"/>
  <c r="X47" i="12" s="1"/>
  <c r="W47" i="12" a="1"/>
  <c r="W47" i="12" s="1"/>
  <c r="X48" i="12" a="1"/>
  <c r="X48" i="12" s="1"/>
  <c r="W48" i="12" a="1"/>
  <c r="W48" i="12" s="1"/>
  <c r="X49" i="12" a="1"/>
  <c r="X49" i="12" s="1"/>
  <c r="W49" i="12" a="1"/>
  <c r="W49" i="12" s="1"/>
  <c r="X50" i="12" a="1"/>
  <c r="X50" i="12" s="1"/>
  <c r="W50" i="12" a="1"/>
  <c r="W50" i="12" s="1"/>
  <c r="X51" i="12" a="1"/>
  <c r="X51" i="12" s="1"/>
  <c r="W51" i="12" a="1"/>
  <c r="W51" i="12" s="1"/>
  <c r="X52" i="12" a="1"/>
  <c r="X52" i="12" s="1"/>
  <c r="W52" i="12" a="1"/>
  <c r="W52" i="12" s="1"/>
  <c r="X53" i="12" a="1"/>
  <c r="X53" i="12" s="1"/>
  <c r="W53" i="12" a="1"/>
  <c r="W53" i="12" s="1"/>
  <c r="X54" i="12" a="1"/>
  <c r="X54" i="12" s="1"/>
  <c r="W54" i="12" a="1"/>
  <c r="W54" i="12" s="1"/>
  <c r="X55" i="12" a="1"/>
  <c r="X55" i="12" s="1"/>
  <c r="W55" i="12" a="1"/>
  <c r="W55" i="12" s="1"/>
  <c r="X56" i="12" a="1"/>
  <c r="X56" i="12" s="1"/>
  <c r="W56" i="12" a="1"/>
  <c r="W56" i="12" s="1"/>
  <c r="X57" i="12" a="1"/>
  <c r="X57" i="12" s="1"/>
  <c r="W57" i="12" a="1"/>
  <c r="W57" i="12" s="1"/>
  <c r="X58" i="12" a="1"/>
  <c r="X58" i="12" s="1"/>
  <c r="W58" i="12" a="1"/>
  <c r="W58" i="12" s="1"/>
  <c r="X59" i="12" a="1"/>
  <c r="X59" i="12" s="1"/>
  <c r="W59" i="12" a="1"/>
  <c r="W59" i="12" s="1"/>
  <c r="X60" i="12" a="1"/>
  <c r="X60" i="12" s="1"/>
  <c r="W60" i="12" a="1"/>
  <c r="W60" i="12" s="1"/>
  <c r="X61" i="12" a="1"/>
  <c r="X61" i="12" s="1"/>
  <c r="W61" i="12" a="1"/>
  <c r="W61" i="12" s="1"/>
  <c r="X62" i="12" a="1"/>
  <c r="X62" i="12" s="1"/>
  <c r="W62" i="12" a="1"/>
  <c r="W62" i="12" s="1"/>
  <c r="X8" i="12" a="1"/>
  <c r="X8" i="12" s="1"/>
  <c r="W8" i="12" a="1"/>
  <c r="W8" i="12" s="1"/>
  <c r="X9" i="12" a="1"/>
  <c r="X9" i="12" s="1"/>
  <c r="W9" i="12" a="1"/>
  <c r="W9" i="12" s="1"/>
  <c r="X10" i="12" a="1"/>
  <c r="X10" i="12" s="1"/>
  <c r="W10" i="12" a="1"/>
  <c r="W10" i="12" s="1"/>
  <c r="X11" i="12" a="1"/>
  <c r="X11" i="12" s="1"/>
  <c r="W11" i="12" a="1"/>
  <c r="W11" i="12" s="1"/>
  <c r="X12" i="12" a="1"/>
  <c r="X12" i="12" s="1"/>
  <c r="W12" i="12" a="1"/>
  <c r="W12" i="12" s="1"/>
  <c r="X13" i="12" a="1"/>
  <c r="X13" i="12" s="1"/>
  <c r="W13" i="12" a="1"/>
  <c r="W13" i="12" s="1"/>
  <c r="X14" i="12" a="1"/>
  <c r="X14" i="12" s="1"/>
  <c r="W14" i="12" a="1"/>
  <c r="W14" i="12" s="1"/>
  <c r="X15" i="12" a="1"/>
  <c r="X15" i="12" s="1"/>
  <c r="W15" i="12" a="1"/>
  <c r="W15" i="12" s="1"/>
  <c r="X16" i="12" a="1"/>
  <c r="X16" i="12" s="1"/>
  <c r="W16" i="12" a="1"/>
  <c r="W16" i="12" s="1"/>
  <c r="X17" i="12" a="1"/>
  <c r="X17" i="12" s="1"/>
  <c r="W17" i="12" a="1"/>
  <c r="W17" i="12" s="1"/>
  <c r="X18" i="12" a="1"/>
  <c r="X18" i="12" s="1"/>
  <c r="W18" i="12" a="1"/>
  <c r="W18" i="12" s="1"/>
  <c r="X19" i="12" a="1"/>
  <c r="X19" i="12" s="1"/>
  <c r="W19" i="12" a="1"/>
  <c r="W19" i="12" s="1"/>
  <c r="X20" i="12" a="1"/>
  <c r="X20" i="12" s="1"/>
  <c r="W20" i="12" a="1"/>
  <c r="W20" i="12" s="1"/>
  <c r="X21" i="12" a="1"/>
  <c r="X21" i="12" s="1"/>
  <c r="W21" i="12" a="1"/>
  <c r="W21" i="12" s="1"/>
  <c r="X22" i="12" a="1"/>
  <c r="X22" i="12" s="1"/>
  <c r="W22" i="12" a="1"/>
  <c r="W22" i="12" s="1"/>
  <c r="X23" i="12" a="1"/>
  <c r="X23" i="12" s="1"/>
  <c r="W23" i="12" a="1"/>
  <c r="W23" i="12" s="1"/>
  <c r="X24" i="12" a="1"/>
  <c r="X24" i="12" s="1"/>
  <c r="W24" i="12" a="1"/>
  <c r="W24" i="12" s="1"/>
  <c r="X25" i="12" a="1"/>
  <c r="X25" i="12" s="1"/>
  <c r="W25" i="12" a="1"/>
  <c r="W25" i="12" s="1"/>
  <c r="X26" i="12" a="1"/>
  <c r="X26" i="12" s="1"/>
  <c r="W26" i="12" a="1"/>
  <c r="W26" i="12" s="1"/>
  <c r="X27" i="12" a="1"/>
  <c r="X27" i="12" s="1"/>
  <c r="W27" i="12" a="1"/>
  <c r="W27" i="12" s="1"/>
  <c r="X28" i="12" a="1"/>
  <c r="X28" i="12" s="1"/>
  <c r="W28" i="12" a="1"/>
  <c r="W28" i="12" s="1"/>
  <c r="X29" i="12" a="1"/>
  <c r="X29" i="12" s="1"/>
  <c r="W29" i="12" a="1"/>
  <c r="W29" i="12" s="1"/>
  <c r="X30" i="12" a="1"/>
  <c r="X30" i="12" s="1"/>
  <c r="W30" i="12" a="1"/>
  <c r="W30" i="12" s="1"/>
  <c r="X31" i="12" a="1"/>
  <c r="X31" i="12" s="1"/>
  <c r="W31" i="12" a="1"/>
  <c r="W31" i="12" s="1"/>
  <c r="X32" i="12" a="1"/>
  <c r="X32" i="12" s="1"/>
  <c r="W32" i="12" a="1"/>
  <c r="W32" i="12" s="1"/>
  <c r="X33" i="12" a="1"/>
  <c r="X33" i="12" s="1"/>
  <c r="W33" i="12" a="1"/>
  <c r="W33" i="12" s="1"/>
  <c r="X5" i="12" a="1"/>
  <c r="X5" i="12" s="1"/>
  <c r="W5" i="12" a="1"/>
  <c r="W5" i="12" s="1"/>
  <c r="X6" i="12" a="1"/>
  <c r="X6" i="12" s="1"/>
  <c r="W6" i="12" a="1"/>
  <c r="W6" i="12" s="1"/>
  <c r="X7" i="12" a="1"/>
  <c r="X7" i="12" s="1"/>
  <c r="W7" i="12" a="1"/>
  <c r="W7" i="12" s="1"/>
  <c r="V43" i="11" a="1"/>
  <c r="V43" i="11" s="1"/>
  <c r="U43" i="11" a="1"/>
  <c r="U43" i="11" s="1"/>
  <c r="T43" i="11"/>
  <c r="V42" i="11" a="1"/>
  <c r="V42" i="11" s="1"/>
  <c r="U42" i="11" a="1"/>
  <c r="U42" i="11" s="1"/>
  <c r="T42" i="11"/>
  <c r="V41" i="11" a="1"/>
  <c r="V41" i="11" s="1"/>
  <c r="U41" i="11" a="1"/>
  <c r="U41" i="11" s="1"/>
  <c r="T41" i="11"/>
  <c r="V40" i="11" a="1"/>
  <c r="V40" i="11" s="1"/>
  <c r="U40" i="11" a="1"/>
  <c r="U40" i="11" s="1"/>
  <c r="T40" i="11"/>
  <c r="V39" i="11" a="1"/>
  <c r="V39" i="11" s="1"/>
  <c r="U39" i="11" a="1"/>
  <c r="U39" i="11" s="1"/>
  <c r="T39" i="11"/>
  <c r="V38" i="11" a="1"/>
  <c r="V38" i="11" s="1"/>
  <c r="U38" i="11" a="1"/>
  <c r="U38" i="11" s="1"/>
  <c r="T38" i="11"/>
  <c r="V37" i="11" a="1"/>
  <c r="V37" i="11" s="1"/>
  <c r="U37" i="11" a="1"/>
  <c r="U37" i="11" s="1"/>
  <c r="T37" i="11"/>
  <c r="V36" i="11" a="1"/>
  <c r="V36" i="11" s="1"/>
  <c r="U36" i="11" a="1"/>
  <c r="U36" i="11" s="1"/>
  <c r="T36" i="11"/>
  <c r="V35" i="11" a="1"/>
  <c r="V35" i="11" s="1"/>
  <c r="U35" i="11" a="1"/>
  <c r="U35" i="11" s="1"/>
  <c r="T35" i="11"/>
  <c r="V34" i="11" a="1"/>
  <c r="V34" i="11" s="1"/>
  <c r="U34" i="11" a="1"/>
  <c r="U34" i="11" s="1"/>
  <c r="T34" i="11"/>
  <c r="V33" i="11" a="1"/>
  <c r="V33" i="11" s="1"/>
  <c r="U33" i="11" a="1"/>
  <c r="U33" i="11" s="1"/>
  <c r="T33" i="11"/>
  <c r="V32" i="11" a="1"/>
  <c r="V32" i="11" s="1"/>
  <c r="U32" i="11" a="1"/>
  <c r="U32" i="11" s="1"/>
  <c r="T32" i="11"/>
  <c r="V31" i="11" a="1"/>
  <c r="V31" i="11" s="1"/>
  <c r="U31" i="11" a="1"/>
  <c r="U31" i="11" s="1"/>
  <c r="T31" i="11"/>
  <c r="V30" i="11" a="1"/>
  <c r="V30" i="11" s="1"/>
  <c r="U30" i="11" a="1"/>
  <c r="U30" i="11" s="1"/>
  <c r="T30" i="11"/>
  <c r="V29" i="11" a="1"/>
  <c r="V29" i="11" s="1"/>
  <c r="U29" i="11" a="1"/>
  <c r="U29" i="11" s="1"/>
  <c r="T29" i="11"/>
  <c r="V28" i="11" a="1"/>
  <c r="V28" i="11" s="1"/>
  <c r="U28" i="11" a="1"/>
  <c r="U28" i="11" s="1"/>
  <c r="T28" i="11"/>
  <c r="V27" i="11" a="1"/>
  <c r="V27" i="11" s="1"/>
  <c r="U27" i="11" a="1"/>
  <c r="U27" i="11" s="1"/>
  <c r="T27" i="11"/>
  <c r="V26" i="11" a="1"/>
  <c r="V26" i="11" s="1"/>
  <c r="U26" i="11" a="1"/>
  <c r="U26" i="11" s="1"/>
  <c r="T26" i="11"/>
  <c r="V25" i="11" a="1"/>
  <c r="V25" i="11" s="1"/>
  <c r="U25" i="11" a="1"/>
  <c r="U25" i="11" s="1"/>
  <c r="T25" i="11"/>
  <c r="V24" i="11" a="1"/>
  <c r="V24" i="11" s="1"/>
  <c r="U24" i="11" a="1"/>
  <c r="U24" i="11" s="1"/>
  <c r="T24" i="11"/>
  <c r="V23" i="11" a="1"/>
  <c r="V23" i="11" s="1"/>
  <c r="U23" i="11" a="1"/>
  <c r="U23" i="11" s="1"/>
  <c r="T23" i="11"/>
  <c r="V22" i="11" a="1"/>
  <c r="V22" i="11" s="1"/>
  <c r="U22" i="11" a="1"/>
  <c r="U22" i="11" s="1"/>
  <c r="T22" i="11"/>
  <c r="V21" i="11" a="1"/>
  <c r="V21" i="11" s="1"/>
  <c r="U21" i="11" a="1"/>
  <c r="U21" i="11" s="1"/>
  <c r="T21" i="11"/>
  <c r="V20" i="11" a="1"/>
  <c r="V20" i="11" s="1"/>
  <c r="U20" i="11" a="1"/>
  <c r="U20" i="11" s="1"/>
  <c r="T20" i="11"/>
  <c r="V19" i="11" a="1"/>
  <c r="V19" i="11" s="1"/>
  <c r="U19" i="11" a="1"/>
  <c r="U19" i="11" s="1"/>
  <c r="T19" i="11"/>
  <c r="V18" i="11" a="1"/>
  <c r="V18" i="11" s="1"/>
  <c r="U18" i="11" a="1"/>
  <c r="U18" i="11" s="1"/>
  <c r="T18" i="11"/>
  <c r="V17" i="11" a="1"/>
  <c r="V17" i="11" s="1"/>
  <c r="U17" i="11" a="1"/>
  <c r="U17" i="11" s="1"/>
  <c r="T17" i="11"/>
  <c r="V16" i="11" a="1"/>
  <c r="V16" i="11" s="1"/>
  <c r="U16" i="11" a="1"/>
  <c r="U16" i="11" s="1"/>
  <c r="T16" i="11"/>
  <c r="V15" i="11" a="1"/>
  <c r="V15" i="11" s="1"/>
  <c r="U15" i="11" a="1"/>
  <c r="U15" i="11" s="1"/>
  <c r="T15" i="11"/>
  <c r="V14" i="11" a="1"/>
  <c r="V14" i="11" s="1"/>
  <c r="U14" i="11" a="1"/>
  <c r="U14" i="11" s="1"/>
  <c r="T14" i="11"/>
  <c r="V13" i="11" a="1"/>
  <c r="V13" i="11" s="1"/>
  <c r="U13" i="11" a="1"/>
  <c r="U13" i="11" s="1"/>
  <c r="T13" i="11"/>
  <c r="V12" i="11" a="1"/>
  <c r="V12" i="11" s="1"/>
  <c r="U12" i="11" a="1"/>
  <c r="U12" i="11" s="1"/>
  <c r="T12" i="11"/>
  <c r="V11" i="11" a="1"/>
  <c r="V11" i="11" s="1"/>
  <c r="U11" i="11" a="1"/>
  <c r="U11" i="11" s="1"/>
  <c r="T11" i="11"/>
  <c r="V10" i="11" a="1"/>
  <c r="V10" i="11" s="1"/>
  <c r="U10" i="11" a="1"/>
  <c r="U10" i="11" s="1"/>
  <c r="T10" i="11"/>
  <c r="V9" i="11" a="1"/>
  <c r="V9" i="11" s="1"/>
  <c r="U9" i="11" a="1"/>
  <c r="U9" i="11" s="1"/>
  <c r="T9" i="11"/>
  <c r="V8" i="11" a="1"/>
  <c r="V8" i="11" s="1"/>
  <c r="U8" i="11" a="1"/>
  <c r="U8" i="11" s="1"/>
  <c r="T8" i="11"/>
  <c r="V7" i="11" a="1"/>
  <c r="V7" i="11" s="1"/>
  <c r="U7" i="11" a="1"/>
  <c r="U7" i="11" s="1"/>
  <c r="T7" i="11"/>
  <c r="V6" i="11" a="1"/>
  <c r="V6" i="11" s="1"/>
  <c r="U6" i="11" a="1"/>
  <c r="U6" i="11" s="1"/>
  <c r="T6" i="11"/>
  <c r="V5" i="11" a="1"/>
  <c r="V5" i="11" s="1"/>
  <c r="U5" i="11" a="1"/>
  <c r="U5" i="11" s="1"/>
  <c r="T5" i="11"/>
  <c r="AA2" i="11"/>
  <c r="R2" i="11"/>
  <c r="AA3" i="11"/>
  <c r="R3" i="11"/>
  <c r="AA4" i="11"/>
  <c r="R4" i="11"/>
  <c r="AC60" i="10" l="1"/>
  <c r="AC25" i="10"/>
  <c r="AC24" i="10"/>
  <c r="AC53" i="10"/>
  <c r="AC14" i="10"/>
  <c r="AC37" i="11"/>
  <c r="AC28" i="11"/>
  <c r="AC13" i="11"/>
  <c r="AC34" i="11"/>
  <c r="AC11" i="11"/>
  <c r="T46" i="12"/>
  <c r="T45" i="12"/>
  <c r="T13" i="12"/>
  <c r="AQ23" i="12"/>
  <c r="V3" i="12"/>
  <c r="AF3" i="12"/>
  <c r="U3" i="12"/>
  <c r="AH3" i="12" a="1"/>
  <c r="AH3" i="12" s="1"/>
  <c r="AF4" i="12"/>
  <c r="AP3" i="12" s="1"/>
  <c r="U4" i="12"/>
  <c r="AH4" i="12" a="1"/>
  <c r="AH4" i="12" s="1"/>
  <c r="V4" i="12"/>
  <c r="AG2" i="12"/>
  <c r="AQ2" i="12" s="1"/>
  <c r="AP26" i="12"/>
  <c r="AP32" i="12"/>
  <c r="AP42" i="12"/>
  <c r="AO42" i="12" s="1"/>
  <c r="AQ8" i="12"/>
  <c r="AP46" i="12"/>
  <c r="AQ40" i="12"/>
  <c r="AP7" i="12"/>
  <c r="AO7" i="12" s="1"/>
  <c r="AQ32" i="12"/>
  <c r="AQ42" i="12"/>
  <c r="AP8" i="12"/>
  <c r="AO8" i="12" s="1"/>
  <c r="AP45" i="12"/>
  <c r="AP16" i="12"/>
  <c r="AO16" i="12" s="1"/>
  <c r="AQ26" i="12"/>
  <c r="AP48" i="12"/>
  <c r="AP34" i="12"/>
  <c r="AP49" i="12"/>
  <c r="AP35" i="12"/>
  <c r="AQ45" i="12"/>
  <c r="AQ16" i="12"/>
  <c r="AP19" i="12"/>
  <c r="AP24" i="12"/>
  <c r="AQ48" i="12"/>
  <c r="AQ22" i="12"/>
  <c r="AQ49" i="12"/>
  <c r="AQ35" i="12"/>
  <c r="AQ10" i="12"/>
  <c r="AP30" i="12"/>
  <c r="AQ19" i="12"/>
  <c r="AQ24" i="12"/>
  <c r="AP10" i="12"/>
  <c r="AQ30" i="12"/>
  <c r="AP28" i="12"/>
  <c r="AP37" i="12"/>
  <c r="AO37" i="12" s="1"/>
  <c r="AP38" i="12"/>
  <c r="AQ6" i="12"/>
  <c r="AP12" i="12"/>
  <c r="AQ37" i="12"/>
  <c r="AP27" i="12"/>
  <c r="AP25" i="12"/>
  <c r="AP13" i="12"/>
  <c r="AQ36" i="12"/>
  <c r="AP9" i="12"/>
  <c r="AQ25" i="12"/>
  <c r="AQ13" i="12"/>
  <c r="AP6" i="12"/>
  <c r="AO6" i="12" s="1"/>
  <c r="AQ17" i="12"/>
  <c r="AQ9" i="12"/>
  <c r="AQ33" i="12"/>
  <c r="AP23" i="12"/>
  <c r="AO23" i="12" s="1"/>
  <c r="AP4" i="12"/>
  <c r="AP33" i="12"/>
  <c r="AP44" i="12"/>
  <c r="AP36" i="12"/>
  <c r="AP17" i="12"/>
  <c r="AP39" i="12"/>
  <c r="AQ4" i="12"/>
  <c r="AP5" i="12"/>
  <c r="AP20" i="12"/>
  <c r="AO20" i="12" s="1"/>
  <c r="AP47" i="12"/>
  <c r="AP18" i="12"/>
  <c r="AP11" i="12"/>
  <c r="AQ5" i="12"/>
  <c r="AQ20" i="12"/>
  <c r="AQ47" i="12"/>
  <c r="AP43" i="12"/>
  <c r="AQ11" i="12"/>
  <c r="AP14" i="12"/>
  <c r="AO14" i="12" s="1"/>
  <c r="AP41" i="12"/>
  <c r="AO41" i="12" s="1"/>
  <c r="AQ43" i="12"/>
  <c r="AQ14" i="12"/>
  <c r="AP21" i="12"/>
  <c r="AO21" i="12" s="1"/>
  <c r="AQ41" i="12"/>
  <c r="AP15" i="12"/>
  <c r="AP31" i="12"/>
  <c r="AO31" i="12" s="1"/>
  <c r="AP22" i="12"/>
  <c r="AO22" i="12" s="1"/>
  <c r="AQ27" i="12"/>
  <c r="AQ46" i="12"/>
  <c r="AQ29" i="12"/>
  <c r="AQ21" i="12"/>
  <c r="AQ15" i="12"/>
  <c r="AQ31" i="12"/>
  <c r="AP29" i="12"/>
  <c r="AO29" i="12" s="1"/>
  <c r="AP40" i="12"/>
  <c r="AQ38" i="12"/>
  <c r="AQ18" i="12"/>
  <c r="AF2" i="12"/>
  <c r="AH2" i="12" a="1"/>
  <c r="AH2" i="12" s="1"/>
  <c r="AR48" i="12" s="1" a="1"/>
  <c r="AR48" i="12" s="1"/>
  <c r="AQ39" i="12"/>
  <c r="AP2" i="12"/>
  <c r="AQ34" i="12"/>
  <c r="AQ28" i="12"/>
  <c r="AQ12" i="12"/>
  <c r="AR3" i="12" a="1"/>
  <c r="AR3" i="12" s="1"/>
  <c r="AQ44" i="12"/>
  <c r="AQ3" i="12"/>
  <c r="AF4" i="11" a="1"/>
  <c r="AF4" i="11" s="1"/>
  <c r="AD4" i="11"/>
  <c r="AN3" i="11" s="1"/>
  <c r="AE4" i="11"/>
  <c r="AF3" i="11" a="1"/>
  <c r="AF3" i="11" s="1"/>
  <c r="AD3" i="11"/>
  <c r="AE3" i="11"/>
  <c r="AF2" i="11" a="1"/>
  <c r="AF2" i="11" s="1"/>
  <c r="AP3" i="11" s="1" a="1"/>
  <c r="AP3" i="11" s="1"/>
  <c r="AE2" i="11"/>
  <c r="AO2" i="11" s="1"/>
  <c r="AD2" i="11"/>
  <c r="AN2" i="11" s="1"/>
  <c r="AO5" i="11"/>
  <c r="AO17" i="11"/>
  <c r="AN20" i="11"/>
  <c r="AM20" i="11" s="1"/>
  <c r="AO29" i="11"/>
  <c r="AN28" i="11"/>
  <c r="AM28" i="11" s="1"/>
  <c r="AN10" i="11"/>
  <c r="AO20" i="11"/>
  <c r="AN29" i="11"/>
  <c r="AO28" i="11"/>
  <c r="AO10" i="11"/>
  <c r="AP10" i="11" a="1"/>
  <c r="AP10" i="11" s="1"/>
  <c r="AN6" i="11"/>
  <c r="AO6" i="11"/>
  <c r="AN5" i="11"/>
  <c r="AP17" i="11" a="1"/>
  <c r="AP17" i="11" s="1"/>
  <c r="AP6" i="11" a="1"/>
  <c r="AP6" i="11" s="1"/>
  <c r="AN17" i="11"/>
  <c r="AM17" i="11" s="1"/>
  <c r="AP20" i="11" a="1"/>
  <c r="AP20" i="11" s="1"/>
  <c r="AP29" i="11" a="1"/>
  <c r="AP29" i="11" s="1"/>
  <c r="AP28" i="11" a="1"/>
  <c r="AP28" i="11" s="1"/>
  <c r="AO12" i="11"/>
  <c r="AM12" i="11" s="1"/>
  <c r="AN14" i="11"/>
  <c r="AM14" i="11" s="1"/>
  <c r="AN23" i="11"/>
  <c r="AO26" i="11"/>
  <c r="AN12" i="11"/>
  <c r="AN25" i="11"/>
  <c r="AO21" i="11"/>
  <c r="AN26" i="11"/>
  <c r="AO25" i="11"/>
  <c r="AN21" i="11"/>
  <c r="AN15" i="11"/>
  <c r="AO14" i="11"/>
  <c r="AP23" i="11" a="1"/>
  <c r="AP23" i="11" s="1"/>
  <c r="AO15" i="11"/>
  <c r="AO23" i="11"/>
  <c r="AP15" i="11" a="1"/>
  <c r="AP15" i="11" s="1"/>
  <c r="AP14" i="11" a="1"/>
  <c r="AP14" i="11" s="1"/>
  <c r="AP26" i="11" a="1"/>
  <c r="AP26" i="11" s="1"/>
  <c r="AN24" i="11"/>
  <c r="AN27" i="11"/>
  <c r="AN11" i="11"/>
  <c r="AN16" i="11"/>
  <c r="AN9" i="11"/>
  <c r="AO7" i="11"/>
  <c r="AP9" i="11" a="1"/>
  <c r="AP9" i="11" s="1"/>
  <c r="AP8" i="11" a="1"/>
  <c r="AP8" i="11" s="1"/>
  <c r="AO27" i="11"/>
  <c r="AO11" i="11"/>
  <c r="AN7" i="11"/>
  <c r="AP16" i="11" a="1"/>
  <c r="AP16" i="11" s="1"/>
  <c r="AN18" i="11"/>
  <c r="AP13" i="11" a="1"/>
  <c r="AP13" i="11" s="1"/>
  <c r="AO24" i="11"/>
  <c r="AO16" i="11"/>
  <c r="AO9" i="11"/>
  <c r="AP7" i="11" a="1"/>
  <c r="AP7" i="11" s="1"/>
  <c r="AP22" i="11" a="1"/>
  <c r="AP22" i="11" s="1"/>
  <c r="AP24" i="11" a="1"/>
  <c r="AP24" i="11" s="1"/>
  <c r="AP11" i="11" a="1"/>
  <c r="AP11" i="11" s="1"/>
  <c r="AN22" i="11"/>
  <c r="AO19" i="11"/>
  <c r="AP21" i="11" a="1"/>
  <c r="AP21" i="11" s="1"/>
  <c r="AO8" i="11"/>
  <c r="AN4" i="11"/>
  <c r="AN13" i="11"/>
  <c r="AN19" i="11"/>
  <c r="AO18" i="11"/>
  <c r="AN8" i="11"/>
  <c r="AO4" i="11"/>
  <c r="AO13" i="11"/>
  <c r="AP19" i="11" a="1"/>
  <c r="AP19" i="11" s="1"/>
  <c r="AO22" i="11"/>
  <c r="AP4" i="11" a="1"/>
  <c r="AP4" i="11" s="1"/>
  <c r="AO3" i="11"/>
  <c r="AM3" i="11" s="1"/>
  <c r="AF2" i="7" a="1"/>
  <c r="AF2" i="7" s="1"/>
  <c r="AP19" i="7" s="1" a="1"/>
  <c r="AP19" i="7" s="1"/>
  <c r="AN11" i="7"/>
  <c r="AO8" i="7"/>
  <c r="AO7" i="7"/>
  <c r="AO17" i="7"/>
  <c r="AN14" i="7"/>
  <c r="AN8" i="7"/>
  <c r="AM8" i="7" s="1"/>
  <c r="AN17" i="7"/>
  <c r="AO14" i="7"/>
  <c r="AN18" i="7"/>
  <c r="AO16" i="7"/>
  <c r="AP10" i="7" a="1"/>
  <c r="AP10" i="7" s="1"/>
  <c r="AN7" i="7"/>
  <c r="AO20" i="7"/>
  <c r="AP18" i="7" a="1"/>
  <c r="AP18" i="7" s="1"/>
  <c r="AO19" i="7"/>
  <c r="AO11" i="7"/>
  <c r="AP7" i="7" a="1"/>
  <c r="AP7" i="7" s="1"/>
  <c r="AP17" i="7" a="1"/>
  <c r="AP17" i="7" s="1"/>
  <c r="AP16" i="7" a="1"/>
  <c r="AP16" i="7" s="1"/>
  <c r="AN19" i="7"/>
  <c r="AO18" i="7"/>
  <c r="AO5" i="7"/>
  <c r="AN16" i="7"/>
  <c r="AN20" i="7"/>
  <c r="AN5" i="7"/>
  <c r="AN6" i="7"/>
  <c r="AN13" i="7"/>
  <c r="AO4" i="7"/>
  <c r="AO21" i="7"/>
  <c r="AN4" i="7"/>
  <c r="AP21" i="7" a="1"/>
  <c r="AP21" i="7" s="1"/>
  <c r="AP13" i="7" a="1"/>
  <c r="AP13" i="7" s="1"/>
  <c r="AN21" i="7"/>
  <c r="AN10" i="7"/>
  <c r="AO9" i="7"/>
  <c r="AN15" i="7"/>
  <c r="AO6" i="7"/>
  <c r="AO13" i="7"/>
  <c r="AN9" i="7"/>
  <c r="AO15" i="7"/>
  <c r="AP9" i="7" a="1"/>
  <c r="AP9" i="7" s="1"/>
  <c r="AO12" i="7"/>
  <c r="AP15" i="7" a="1"/>
  <c r="AP15" i="7" s="1"/>
  <c r="AO10" i="7"/>
  <c r="AN12" i="7"/>
  <c r="AP2" i="7" a="1"/>
  <c r="AP2" i="7" s="1"/>
  <c r="AC12" i="7"/>
  <c r="AP3" i="7" a="1"/>
  <c r="AP3" i="7" s="1"/>
  <c r="AC13" i="7"/>
  <c r="AC21" i="10"/>
  <c r="AC50" i="10"/>
  <c r="AC10" i="10"/>
  <c r="AC30" i="10"/>
  <c r="AO19" i="10"/>
  <c r="AO17" i="10"/>
  <c r="AN21" i="10"/>
  <c r="AN19" i="10"/>
  <c r="AN17" i="10"/>
  <c r="AN18" i="10"/>
  <c r="AN16" i="10"/>
  <c r="AN23" i="10"/>
  <c r="AO23" i="10"/>
  <c r="AO18" i="10"/>
  <c r="AO20" i="10"/>
  <c r="AN22" i="10"/>
  <c r="AO16" i="10"/>
  <c r="AO22" i="10"/>
  <c r="AM22" i="10" s="1"/>
  <c r="AN20" i="10"/>
  <c r="AO21" i="10"/>
  <c r="AO5" i="10"/>
  <c r="AO15" i="10"/>
  <c r="AN5" i="10"/>
  <c r="AN15" i="10"/>
  <c r="AN13" i="10"/>
  <c r="AO13" i="10"/>
  <c r="AO9" i="10"/>
  <c r="AO12" i="10"/>
  <c r="AN7" i="10"/>
  <c r="AN11" i="10"/>
  <c r="AN12" i="10"/>
  <c r="AN9" i="10"/>
  <c r="AO7" i="10"/>
  <c r="AO11" i="10"/>
  <c r="AN10" i="10"/>
  <c r="AO8" i="10"/>
  <c r="AN6" i="10"/>
  <c r="AN4" i="10"/>
  <c r="AO4" i="10"/>
  <c r="AO14" i="10"/>
  <c r="AN8" i="10"/>
  <c r="AO6" i="10"/>
  <c r="AN14" i="10"/>
  <c r="AO10" i="10"/>
  <c r="AC44" i="10"/>
  <c r="AC11" i="10"/>
  <c r="AC32" i="10"/>
  <c r="AC46" i="10"/>
  <c r="AC51" i="10"/>
  <c r="AC38" i="10"/>
  <c r="AC45" i="10"/>
  <c r="AC5" i="10"/>
  <c r="AC43" i="10"/>
  <c r="AC49" i="10"/>
  <c r="AC29" i="10"/>
  <c r="AC17" i="10"/>
  <c r="AC8" i="10"/>
  <c r="AC9" i="10"/>
  <c r="AC59" i="10"/>
  <c r="AC47" i="10"/>
  <c r="AC16" i="10"/>
  <c r="AC15" i="10"/>
  <c r="AC20" i="10"/>
  <c r="AC26" i="10"/>
  <c r="AC37" i="10"/>
  <c r="AC40" i="10"/>
  <c r="AC58" i="10"/>
  <c r="AC55" i="10"/>
  <c r="AC57" i="10"/>
  <c r="AC19" i="10"/>
  <c r="AC6" i="10"/>
  <c r="AC42" i="10"/>
  <c r="AC12" i="10"/>
  <c r="AC27" i="10"/>
  <c r="AC56" i="10"/>
  <c r="AC54" i="10"/>
  <c r="AC34" i="10"/>
  <c r="AE4" i="10"/>
  <c r="AO3" i="10" s="1"/>
  <c r="AF4" i="10" a="1"/>
  <c r="AF4" i="10" s="1"/>
  <c r="AD4" i="10"/>
  <c r="AN3" i="10" s="1"/>
  <c r="AF3" i="10" a="1"/>
  <c r="AF3" i="10" s="1"/>
  <c r="AD3" i="10"/>
  <c r="AE3" i="10"/>
  <c r="AC13" i="10"/>
  <c r="AC7" i="10"/>
  <c r="AC36" i="10"/>
  <c r="AC35" i="10"/>
  <c r="AC31" i="10"/>
  <c r="AC28" i="10"/>
  <c r="AC61" i="10"/>
  <c r="AC33" i="10"/>
  <c r="AC22" i="10"/>
  <c r="AC48" i="10"/>
  <c r="AC41" i="10"/>
  <c r="AF2" i="10" a="1"/>
  <c r="AF2" i="10" s="1"/>
  <c r="AP15" i="10" s="1" a="1"/>
  <c r="AP15" i="10" s="1"/>
  <c r="AE2" i="10"/>
  <c r="AD2" i="10"/>
  <c r="AC52" i="10"/>
  <c r="AC39" i="10"/>
  <c r="AC18" i="10"/>
  <c r="AC23" i="10"/>
  <c r="AC6" i="7"/>
  <c r="AC17" i="7"/>
  <c r="AC27" i="7"/>
  <c r="AC5" i="7"/>
  <c r="AC7" i="7"/>
  <c r="AC25" i="7"/>
  <c r="AC28" i="7"/>
  <c r="AC30" i="7"/>
  <c r="AC16" i="7"/>
  <c r="AC20" i="7"/>
  <c r="AD3" i="7"/>
  <c r="AE3" i="7"/>
  <c r="AC31" i="7"/>
  <c r="AC24" i="7"/>
  <c r="AC21" i="7"/>
  <c r="AD4" i="7"/>
  <c r="AN3" i="7" s="1"/>
  <c r="AE4" i="7"/>
  <c r="AO3" i="7" s="1"/>
  <c r="AE2" i="7"/>
  <c r="AO2" i="7" s="1"/>
  <c r="AD2" i="7"/>
  <c r="AN2" i="7" s="1"/>
  <c r="AC15" i="7"/>
  <c r="AC9" i="7"/>
  <c r="AC11" i="7"/>
  <c r="AC23" i="7"/>
  <c r="AC29" i="7"/>
  <c r="AC19" i="7"/>
  <c r="AC10" i="7"/>
  <c r="AC18" i="7"/>
  <c r="AC14" i="7"/>
  <c r="AC26" i="7"/>
  <c r="AC22" i="7"/>
  <c r="AC8" i="7"/>
  <c r="AC20" i="11"/>
  <c r="AC14" i="11"/>
  <c r="AC40" i="11"/>
  <c r="AC10" i="11"/>
  <c r="AC19" i="11"/>
  <c r="AC36" i="11"/>
  <c r="AC25" i="11"/>
  <c r="AG2" i="11" a="1"/>
  <c r="AG2" i="11" s="1"/>
  <c r="AG4" i="11" a="1"/>
  <c r="AG4" i="11" s="1"/>
  <c r="AG3" i="11" a="1"/>
  <c r="AG3" i="11" s="1"/>
  <c r="T70" i="12"/>
  <c r="T69" i="12"/>
  <c r="AE7" i="12"/>
  <c r="AE19" i="12"/>
  <c r="AE61" i="12"/>
  <c r="AE11" i="12"/>
  <c r="AE69" i="12"/>
  <c r="AE52" i="12"/>
  <c r="AE20" i="12"/>
  <c r="AE17" i="12"/>
  <c r="AE72" i="12"/>
  <c r="AE39" i="12"/>
  <c r="AE25" i="12"/>
  <c r="AE16" i="12"/>
  <c r="AE51" i="12"/>
  <c r="AE56" i="12"/>
  <c r="AE64" i="12"/>
  <c r="AE71" i="12"/>
  <c r="AE31" i="12"/>
  <c r="AE45" i="12"/>
  <c r="T22" i="12"/>
  <c r="T62" i="12"/>
  <c r="AE59" i="12"/>
  <c r="AE26" i="12"/>
  <c r="AE15" i="12"/>
  <c r="AE38" i="12"/>
  <c r="AE54" i="12"/>
  <c r="T29" i="12"/>
  <c r="AE21" i="12"/>
  <c r="AE44" i="12"/>
  <c r="AE22" i="12"/>
  <c r="AE12" i="12"/>
  <c r="AE6" i="12"/>
  <c r="AE65" i="12"/>
  <c r="AE35" i="12"/>
  <c r="AE49" i="12"/>
  <c r="AE58" i="12"/>
  <c r="AE66" i="12"/>
  <c r="AE57" i="12"/>
  <c r="AE9" i="12"/>
  <c r="T28" i="12"/>
  <c r="T66" i="12"/>
  <c r="T73" i="12"/>
  <c r="T40" i="12"/>
  <c r="T47" i="12"/>
  <c r="AE13" i="12"/>
  <c r="AE18" i="12"/>
  <c r="AE8" i="12"/>
  <c r="AE23" i="12"/>
  <c r="AE46" i="12"/>
  <c r="AI3" i="12" a="1"/>
  <c r="AI3" i="12" s="1"/>
  <c r="AE36" i="12"/>
  <c r="AE67" i="12"/>
  <c r="AE27" i="12"/>
  <c r="AE50" i="12"/>
  <c r="AE33" i="12"/>
  <c r="AE48" i="12"/>
  <c r="AI4" i="12" a="1"/>
  <c r="AI4" i="12" s="1"/>
  <c r="T26" i="12"/>
  <c r="T33" i="12"/>
  <c r="T64" i="12"/>
  <c r="T71" i="12"/>
  <c r="AE60" i="12"/>
  <c r="AE68" i="12"/>
  <c r="AE5" i="12"/>
  <c r="AE14" i="12"/>
  <c r="AE30" i="12"/>
  <c r="AE28" i="12"/>
  <c r="AE73" i="12"/>
  <c r="AE42" i="12"/>
  <c r="T30" i="12"/>
  <c r="AE40" i="12"/>
  <c r="AE24" i="12"/>
  <c r="AE47" i="12"/>
  <c r="AE70" i="12"/>
  <c r="AE53" i="12"/>
  <c r="AE62" i="12"/>
  <c r="AE37" i="12"/>
  <c r="AE29" i="12"/>
  <c r="AE41" i="12"/>
  <c r="AE43" i="12"/>
  <c r="AE34" i="12"/>
  <c r="T14" i="12"/>
  <c r="T61" i="12"/>
  <c r="T60" i="12"/>
  <c r="T12" i="12"/>
  <c r="T19" i="12"/>
  <c r="T44" i="12"/>
  <c r="T51" i="12"/>
  <c r="T58" i="12"/>
  <c r="T10" i="12"/>
  <c r="T17" i="12"/>
  <c r="T24" i="12"/>
  <c r="T31" i="12"/>
  <c r="T36" i="12"/>
  <c r="T43" i="12"/>
  <c r="T50" i="12"/>
  <c r="T57" i="12"/>
  <c r="T9" i="12"/>
  <c r="T16" i="12"/>
  <c r="T23" i="12"/>
  <c r="T68" i="12"/>
  <c r="T35" i="12"/>
  <c r="T42" i="12"/>
  <c r="T49" i="12"/>
  <c r="T56" i="12"/>
  <c r="T8" i="12"/>
  <c r="T15" i="12"/>
  <c r="T7" i="12"/>
  <c r="T67" i="12"/>
  <c r="T34" i="12"/>
  <c r="T41" i="12"/>
  <c r="T48" i="12"/>
  <c r="T55" i="12"/>
  <c r="T21" i="12"/>
  <c r="T6" i="12"/>
  <c r="T54" i="12"/>
  <c r="T53" i="12"/>
  <c r="T20" i="12"/>
  <c r="T27" i="12"/>
  <c r="T65" i="12"/>
  <c r="T72" i="12"/>
  <c r="T39" i="12"/>
  <c r="T37" i="12"/>
  <c r="T38" i="12"/>
  <c r="V2" i="12"/>
  <c r="U2" i="12"/>
  <c r="T52" i="12"/>
  <c r="T59" i="12"/>
  <c r="T11" i="12"/>
  <c r="T18" i="12"/>
  <c r="T25" i="12"/>
  <c r="T32" i="12"/>
  <c r="T63" i="12"/>
  <c r="U3" i="11" a="1"/>
  <c r="U3" i="11" s="1"/>
  <c r="AG4" i="10" a="1"/>
  <c r="AG4" i="10" s="1"/>
  <c r="V4" i="10" a="1"/>
  <c r="V4" i="10" s="1"/>
  <c r="U4" i="10" a="1"/>
  <c r="U4" i="10" s="1"/>
  <c r="T4" i="10"/>
  <c r="AG3" i="10" a="1"/>
  <c r="AG3" i="10" s="1"/>
  <c r="V3" i="10" a="1"/>
  <c r="V3" i="10" s="1"/>
  <c r="U3" i="10" a="1"/>
  <c r="U3" i="10" s="1"/>
  <c r="T3" i="10"/>
  <c r="AG2" i="10" a="1"/>
  <c r="AG2" i="10" s="1"/>
  <c r="AQ23" i="10" s="1" a="1"/>
  <c r="AQ23" i="10" s="1"/>
  <c r="V2" i="10" a="1"/>
  <c r="V2" i="10" s="1"/>
  <c r="U2" i="10" a="1"/>
  <c r="U2" i="10" s="1"/>
  <c r="T2" i="10"/>
  <c r="AG4" i="7" a="1"/>
  <c r="AG4" i="7" s="1"/>
  <c r="AG3" i="7" a="1"/>
  <c r="AG3" i="7" s="1"/>
  <c r="AG2" i="7" a="1"/>
  <c r="AG2" i="7" s="1"/>
  <c r="AQ21" i="7" s="1" a="1"/>
  <c r="AQ21" i="7" s="1"/>
  <c r="V4" i="7" a="1"/>
  <c r="V4" i="7" s="1"/>
  <c r="U4" i="7" a="1"/>
  <c r="U4" i="7" s="1"/>
  <c r="T4" i="7"/>
  <c r="V3" i="7" a="1"/>
  <c r="V3" i="7" s="1"/>
  <c r="U3" i="7" a="1"/>
  <c r="U3" i="7" s="1"/>
  <c r="T3" i="7"/>
  <c r="V2" i="7" a="1"/>
  <c r="V2" i="7" s="1"/>
  <c r="U2" i="7" a="1"/>
  <c r="U2" i="7" s="1"/>
  <c r="T2" i="7"/>
  <c r="X3" i="12" a="1"/>
  <c r="X3" i="12" s="1"/>
  <c r="W3" i="12" a="1"/>
  <c r="W3" i="12" s="1"/>
  <c r="X4" i="12" a="1"/>
  <c r="X4" i="12" s="1"/>
  <c r="W4" i="12" a="1"/>
  <c r="W4" i="12" s="1"/>
  <c r="AI2" i="12" a="1"/>
  <c r="AI2" i="12" s="1"/>
  <c r="AS5" i="12" s="1" a="1"/>
  <c r="AS5" i="12" s="1"/>
  <c r="X2" i="12" a="1"/>
  <c r="X2" i="12" s="1"/>
  <c r="W2" i="12" a="1"/>
  <c r="W2" i="12" s="1"/>
  <c r="V4" i="11" a="1"/>
  <c r="V4" i="11" s="1"/>
  <c r="U4" i="11" a="1"/>
  <c r="U4" i="11" s="1"/>
  <c r="T4" i="11"/>
  <c r="V3" i="11" a="1"/>
  <c r="V3" i="11" s="1"/>
  <c r="T3" i="11"/>
  <c r="V2" i="11" a="1"/>
  <c r="V2" i="11" s="1"/>
  <c r="U2" i="11" a="1"/>
  <c r="U2" i="11" s="1"/>
  <c r="T2" i="11"/>
  <c r="AM12" i="10" l="1"/>
  <c r="AM23" i="10"/>
  <c r="AQ3" i="7" a="1"/>
  <c r="AQ3" i="7" s="1"/>
  <c r="AM7" i="10"/>
  <c r="AN2" i="10"/>
  <c r="AO2" i="10"/>
  <c r="AM9" i="10"/>
  <c r="AM6" i="10"/>
  <c r="AM17" i="10"/>
  <c r="AM15" i="10"/>
  <c r="AM19" i="10"/>
  <c r="AM5" i="10"/>
  <c r="AM21" i="10"/>
  <c r="AM18" i="7"/>
  <c r="AP14" i="7" a="1"/>
  <c r="AP14" i="7" s="1"/>
  <c r="AM17" i="7"/>
  <c r="AP12" i="7" a="1"/>
  <c r="AP12" i="7" s="1"/>
  <c r="AP20" i="7" a="1"/>
  <c r="AP20" i="7" s="1"/>
  <c r="AM3" i="7"/>
  <c r="AP4" i="7" a="1"/>
  <c r="AP4" i="7" s="1"/>
  <c r="AM2" i="7"/>
  <c r="AP5" i="7" a="1"/>
  <c r="AP5" i="7" s="1"/>
  <c r="AM5" i="7"/>
  <c r="AM7" i="7"/>
  <c r="AP6" i="7" a="1"/>
  <c r="AP6" i="7" s="1"/>
  <c r="AP8" i="7" a="1"/>
  <c r="AP8" i="7" s="1"/>
  <c r="AP11" i="7" a="1"/>
  <c r="AP11" i="7" s="1"/>
  <c r="AM18" i="11"/>
  <c r="AM2" i="11"/>
  <c r="AM10" i="11"/>
  <c r="AM19" i="11"/>
  <c r="AP18" i="11" a="1"/>
  <c r="AP18" i="11" s="1"/>
  <c r="AP27" i="11" a="1"/>
  <c r="AP27" i="11" s="1"/>
  <c r="AP25" i="11" a="1"/>
  <c r="AP25" i="11" s="1"/>
  <c r="AM29" i="11"/>
  <c r="AQ2" i="11" a="1"/>
  <c r="AQ2" i="11" s="1"/>
  <c r="AM8" i="11"/>
  <c r="AP12" i="11" a="1"/>
  <c r="AP12" i="11" s="1"/>
  <c r="AM23" i="11"/>
  <c r="AR2" i="12" a="1"/>
  <c r="AR2" i="12" s="1"/>
  <c r="AR39" i="12" a="1"/>
  <c r="AR39" i="12" s="1"/>
  <c r="AR15" i="12" a="1"/>
  <c r="AR15" i="12" s="1"/>
  <c r="AO10" i="12"/>
  <c r="AR31" i="12" a="1"/>
  <c r="AR31" i="12" s="1"/>
  <c r="AO45" i="12"/>
  <c r="AO13" i="12"/>
  <c r="AR18" i="12" a="1"/>
  <c r="AR18" i="12" s="1"/>
  <c r="AR11" i="12" a="1"/>
  <c r="AR11" i="12" s="1"/>
  <c r="AR25" i="12" a="1"/>
  <c r="AR25" i="12" s="1"/>
  <c r="AR6" i="12" a="1"/>
  <c r="AR6" i="12" s="1"/>
  <c r="AO2" i="12"/>
  <c r="AR23" i="12" a="1"/>
  <c r="AR23" i="12" s="1"/>
  <c r="AR34" i="12" a="1"/>
  <c r="AR34" i="12" s="1"/>
  <c r="AR43" i="12" a="1"/>
  <c r="AR43" i="12" s="1"/>
  <c r="AO12" i="12"/>
  <c r="AR47" i="12" a="1"/>
  <c r="AR47" i="12" s="1"/>
  <c r="AR28" i="12" a="1"/>
  <c r="AR28" i="12" s="1"/>
  <c r="AO24" i="12"/>
  <c r="AO46" i="12"/>
  <c r="AR20" i="12" a="1"/>
  <c r="AR20" i="12" s="1"/>
  <c r="AS32" i="12" a="1"/>
  <c r="AS32" i="12" s="1"/>
  <c r="AS49" i="12" a="1"/>
  <c r="AS49" i="12" s="1"/>
  <c r="AR5" i="12" a="1"/>
  <c r="AR5" i="12" s="1"/>
  <c r="AO18" i="12"/>
  <c r="AO17" i="12"/>
  <c r="AR22" i="12" a="1"/>
  <c r="AR22" i="12" s="1"/>
  <c r="AS19" i="12" a="1"/>
  <c r="AS19" i="12" s="1"/>
  <c r="AR29" i="12" a="1"/>
  <c r="AR29" i="12" s="1"/>
  <c r="AS35" i="12" a="1"/>
  <c r="AS35" i="12" s="1"/>
  <c r="AR41" i="12" a="1"/>
  <c r="AR41" i="12" s="1"/>
  <c r="AO15" i="12"/>
  <c r="AO47" i="12"/>
  <c r="AO36" i="12"/>
  <c r="AO19" i="12"/>
  <c r="AR7" i="12" a="1"/>
  <c r="AR7" i="12" s="1"/>
  <c r="AS13" i="12" a="1"/>
  <c r="AS13" i="12" s="1"/>
  <c r="AR24" i="12" a="1"/>
  <c r="AR24" i="12" s="1"/>
  <c r="AS48" i="12" a="1"/>
  <c r="AS48" i="12" s="1"/>
  <c r="AS30" i="12" a="1"/>
  <c r="AS30" i="12" s="1"/>
  <c r="AS40" i="12" a="1"/>
  <c r="AS40" i="12" s="1"/>
  <c r="AS2" i="12" a="1"/>
  <c r="AS2" i="12" s="1"/>
  <c r="AS36" i="12" a="1"/>
  <c r="AS36" i="12" s="1"/>
  <c r="AS18" i="12" a="1"/>
  <c r="AS18" i="12" s="1"/>
  <c r="AS39" i="12" a="1"/>
  <c r="AS39" i="12" s="1"/>
  <c r="AS25" i="12" a="1"/>
  <c r="AS25" i="12" s="1"/>
  <c r="AS44" i="12" a="1"/>
  <c r="AS44" i="12" s="1"/>
  <c r="AR19" i="12" a="1"/>
  <c r="AR19" i="12" s="1"/>
  <c r="AS34" i="12" a="1"/>
  <c r="AS34" i="12" s="1"/>
  <c r="AO32" i="12"/>
  <c r="AS43" i="12" a="1"/>
  <c r="AS43" i="12" s="1"/>
  <c r="AS41" i="12" a="1"/>
  <c r="AS41" i="12" s="1"/>
  <c r="AO43" i="12"/>
  <c r="AO5" i="12"/>
  <c r="AO44" i="12"/>
  <c r="AR10" i="12" a="1"/>
  <c r="AR10" i="12" s="1"/>
  <c r="AR30" i="12" a="1"/>
  <c r="AR30" i="12" s="1"/>
  <c r="AR46" i="12" a="1"/>
  <c r="AR46" i="12" s="1"/>
  <c r="AO26" i="12"/>
  <c r="AS24" i="12" a="1"/>
  <c r="AS24" i="12" s="1"/>
  <c r="AS3" i="12" a="1"/>
  <c r="AS3" i="12" s="1"/>
  <c r="AS11" i="12" a="1"/>
  <c r="AS11" i="12" s="1"/>
  <c r="AR36" i="12" a="1"/>
  <c r="AR36" i="12" s="1"/>
  <c r="AO33" i="12"/>
  <c r="AS12" i="12" a="1"/>
  <c r="AS12" i="12" s="1"/>
  <c r="AS10" i="12" a="1"/>
  <c r="AS10" i="12" s="1"/>
  <c r="AO30" i="12"/>
  <c r="AO35" i="12"/>
  <c r="AO3" i="12"/>
  <c r="AR14" i="12" a="1"/>
  <c r="AR14" i="12" s="1"/>
  <c r="AS29" i="12" a="1"/>
  <c r="AS29" i="12" s="1"/>
  <c r="AR13" i="12" a="1"/>
  <c r="AR13" i="12" s="1"/>
  <c r="AO4" i="12"/>
  <c r="AO9" i="12"/>
  <c r="AS17" i="12" a="1"/>
  <c r="AS17" i="12" s="1"/>
  <c r="AO49" i="12"/>
  <c r="AS28" i="12" a="1"/>
  <c r="AS28" i="12" s="1"/>
  <c r="AR17" i="12" a="1"/>
  <c r="AR17" i="12" s="1"/>
  <c r="AS6" i="12" a="1"/>
  <c r="AS6" i="12" s="1"/>
  <c r="AS27" i="12" a="1"/>
  <c r="AS27" i="12" s="1"/>
  <c r="AR26" i="12" a="1"/>
  <c r="AR26" i="12" s="1"/>
  <c r="AR40" i="12" a="1"/>
  <c r="AR40" i="12" s="1"/>
  <c r="AS21" i="12" a="1"/>
  <c r="AS21" i="12" s="1"/>
  <c r="AS7" i="12" a="1"/>
  <c r="AS7" i="12" s="1"/>
  <c r="AR33" i="12" a="1"/>
  <c r="AR33" i="12" s="1"/>
  <c r="AR44" i="12" a="1"/>
  <c r="AR44" i="12" s="1"/>
  <c r="AO38" i="12"/>
  <c r="AR35" i="12" a="1"/>
  <c r="AR35" i="12" s="1"/>
  <c r="AO34" i="12"/>
  <c r="AS26" i="12" a="1"/>
  <c r="AS26" i="12" s="1"/>
  <c r="AO40" i="12"/>
  <c r="AS47" i="12" a="1"/>
  <c r="AS47" i="12" s="1"/>
  <c r="AR4" i="12" a="1"/>
  <c r="AR4" i="12" s="1"/>
  <c r="AR9" i="12" a="1"/>
  <c r="AR9" i="12" s="1"/>
  <c r="AR16" i="12" a="1"/>
  <c r="AR16" i="12" s="1"/>
  <c r="AO48" i="12"/>
  <c r="AR38" i="12" a="1"/>
  <c r="AR38" i="12" s="1"/>
  <c r="AS23" i="12" a="1"/>
  <c r="AS23" i="12" s="1"/>
  <c r="AS20" i="12" a="1"/>
  <c r="AS20" i="12" s="1"/>
  <c r="AS33" i="12" a="1"/>
  <c r="AS33" i="12" s="1"/>
  <c r="AS4" i="12" a="1"/>
  <c r="AS4" i="12" s="1"/>
  <c r="AO25" i="12"/>
  <c r="AR49" i="12" a="1"/>
  <c r="AR49" i="12" s="1"/>
  <c r="AR45" i="12" a="1"/>
  <c r="AR45" i="12" s="1"/>
  <c r="AR8" i="12" a="1"/>
  <c r="AR8" i="12" s="1"/>
  <c r="AS16" i="12" a="1"/>
  <c r="AS16" i="12" s="1"/>
  <c r="AS46" i="12" a="1"/>
  <c r="AS46" i="12" s="1"/>
  <c r="AS37" i="12" a="1"/>
  <c r="AS37" i="12" s="1"/>
  <c r="AR37" i="12" a="1"/>
  <c r="AR37" i="12" s="1"/>
  <c r="AO27" i="12"/>
  <c r="AS22" i="12" a="1"/>
  <c r="AS22" i="12" s="1"/>
  <c r="AR42" i="12" a="1"/>
  <c r="AR42" i="12" s="1"/>
  <c r="AS45" i="12" a="1"/>
  <c r="AS45" i="12" s="1"/>
  <c r="AS9" i="12" a="1"/>
  <c r="AS9" i="12" s="1"/>
  <c r="AS31" i="12" a="1"/>
  <c r="AS31" i="12" s="1"/>
  <c r="AS14" i="12" a="1"/>
  <c r="AS14" i="12" s="1"/>
  <c r="AO39" i="12"/>
  <c r="AR12" i="12" a="1"/>
  <c r="AR12" i="12" s="1"/>
  <c r="AS38" i="12" a="1"/>
  <c r="AS38" i="12" s="1"/>
  <c r="AO28" i="12"/>
  <c r="AR32" i="12" a="1"/>
  <c r="AR32" i="12" s="1"/>
  <c r="AR21" i="12" a="1"/>
  <c r="AR21" i="12" s="1"/>
  <c r="AS8" i="12" a="1"/>
  <c r="AS8" i="12" s="1"/>
  <c r="AS42" i="12" a="1"/>
  <c r="AS42" i="12" s="1"/>
  <c r="AR27" i="12" a="1"/>
  <c r="AR27" i="12" s="1"/>
  <c r="AS15" i="12" a="1"/>
  <c r="AS15" i="12" s="1"/>
  <c r="AO11" i="12"/>
  <c r="AM22" i="11"/>
  <c r="AQ16" i="11" a="1"/>
  <c r="AQ16" i="11" s="1"/>
  <c r="AQ23" i="11" a="1"/>
  <c r="AQ23" i="11" s="1"/>
  <c r="AM25" i="11"/>
  <c r="AQ29" i="11" a="1"/>
  <c r="AQ29" i="11" s="1"/>
  <c r="AQ4" i="11" a="1"/>
  <c r="AQ4" i="11" s="1"/>
  <c r="AQ20" i="11" a="1"/>
  <c r="AQ20" i="11" s="1"/>
  <c r="AQ14" i="11" a="1"/>
  <c r="AQ14" i="11" s="1"/>
  <c r="AQ15" i="11" a="1"/>
  <c r="AQ15" i="11" s="1"/>
  <c r="AQ5" i="11" a="1"/>
  <c r="AQ5" i="11" s="1"/>
  <c r="AQ7" i="11" a="1"/>
  <c r="AQ7" i="11" s="1"/>
  <c r="AQ9" i="11" a="1"/>
  <c r="AQ9" i="11" s="1"/>
  <c r="AM6" i="11"/>
  <c r="AQ27" i="11" a="1"/>
  <c r="AQ27" i="11" s="1"/>
  <c r="AM9" i="11"/>
  <c r="AQ11" i="11" a="1"/>
  <c r="AQ11" i="11" s="1"/>
  <c r="AM16" i="11"/>
  <c r="AM15" i="11"/>
  <c r="AQ26" i="11" a="1"/>
  <c r="AQ26" i="11" s="1"/>
  <c r="AQ13" i="11" a="1"/>
  <c r="AQ13" i="11" s="1"/>
  <c r="AM11" i="11"/>
  <c r="AM21" i="11"/>
  <c r="AP2" i="11" a="1"/>
  <c r="AP2" i="11" s="1"/>
  <c r="AQ22" i="11" a="1"/>
  <c r="AQ22" i="11" s="1"/>
  <c r="AM13" i="11"/>
  <c r="AM24" i="11"/>
  <c r="AM27" i="11"/>
  <c r="AQ21" i="11" a="1"/>
  <c r="AQ21" i="11" s="1"/>
  <c r="AP5" i="11" a="1"/>
  <c r="AP5" i="11" s="1"/>
  <c r="AQ19" i="11" a="1"/>
  <c r="AQ19" i="11" s="1"/>
  <c r="AM4" i="11"/>
  <c r="AQ17" i="11" a="1"/>
  <c r="AQ17" i="11" s="1"/>
  <c r="AQ8" i="11" a="1"/>
  <c r="AQ8" i="11" s="1"/>
  <c r="AQ24" i="11" a="1"/>
  <c r="AQ24" i="11" s="1"/>
  <c r="AM5" i="11"/>
  <c r="AQ18" i="11" a="1"/>
  <c r="AQ18" i="11" s="1"/>
  <c r="AQ12" i="11" a="1"/>
  <c r="AQ12" i="11" s="1"/>
  <c r="AQ25" i="11" a="1"/>
  <c r="AQ25" i="11" s="1"/>
  <c r="AQ6" i="11" a="1"/>
  <c r="AQ6" i="11" s="1"/>
  <c r="AM26" i="11"/>
  <c r="AQ10" i="11" a="1"/>
  <c r="AQ10" i="11" s="1"/>
  <c r="AQ3" i="11" a="1"/>
  <c r="AQ3" i="11" s="1"/>
  <c r="AM7" i="11"/>
  <c r="AQ28" i="11" a="1"/>
  <c r="AQ28" i="11" s="1"/>
  <c r="AQ15" i="7" a="1"/>
  <c r="AQ15" i="7" s="1"/>
  <c r="AQ2" i="7" a="1"/>
  <c r="AQ2" i="7" s="1"/>
  <c r="AM13" i="7"/>
  <c r="AQ5" i="7" a="1"/>
  <c r="AQ5" i="7" s="1"/>
  <c r="AM6" i="7"/>
  <c r="AQ8" i="7" a="1"/>
  <c r="AQ8" i="7" s="1"/>
  <c r="AQ11" i="7" a="1"/>
  <c r="AQ11" i="7" s="1"/>
  <c r="AQ16" i="7" a="1"/>
  <c r="AQ16" i="7" s="1"/>
  <c r="AQ20" i="7" a="1"/>
  <c r="AQ20" i="7" s="1"/>
  <c r="AQ9" i="7" a="1"/>
  <c r="AQ9" i="7" s="1"/>
  <c r="AQ19" i="7" a="1"/>
  <c r="AQ19" i="7" s="1"/>
  <c r="AM19" i="7"/>
  <c r="AQ4" i="7" a="1"/>
  <c r="AQ4" i="7" s="1"/>
  <c r="AQ7" i="7" a="1"/>
  <c r="AQ7" i="7" s="1"/>
  <c r="AM12" i="7"/>
  <c r="AM10" i="7"/>
  <c r="AM20" i="7"/>
  <c r="AQ14" i="7" a="1"/>
  <c r="AQ14" i="7" s="1"/>
  <c r="AM14" i="7"/>
  <c r="AM15" i="7"/>
  <c r="AQ12" i="7" a="1"/>
  <c r="AQ12" i="7" s="1"/>
  <c r="AM21" i="7"/>
  <c r="AM16" i="7"/>
  <c r="AQ17" i="7" a="1"/>
  <c r="AQ17" i="7" s="1"/>
  <c r="AQ10" i="7" a="1"/>
  <c r="AQ10" i="7" s="1"/>
  <c r="AM9" i="7"/>
  <c r="AQ18" i="7" a="1"/>
  <c r="AQ18" i="7" s="1"/>
  <c r="AQ13" i="7" a="1"/>
  <c r="AQ13" i="7" s="1"/>
  <c r="AQ6" i="7" a="1"/>
  <c r="AQ6" i="7" s="1"/>
  <c r="AM4" i="7"/>
  <c r="AM11" i="7"/>
  <c r="AM3" i="10"/>
  <c r="AQ5" i="10" a="1"/>
  <c r="AQ5" i="10" s="1"/>
  <c r="AM20" i="10"/>
  <c r="AQ6" i="10" a="1"/>
  <c r="AQ6" i="10" s="1"/>
  <c r="AQ7" i="10" a="1"/>
  <c r="AQ7" i="10" s="1"/>
  <c r="AM13" i="10"/>
  <c r="AP18" i="10" a="1"/>
  <c r="AP18" i="10" s="1"/>
  <c r="AQ10" i="10" a="1"/>
  <c r="AQ10" i="10" s="1"/>
  <c r="AP5" i="10" a="1"/>
  <c r="AP5" i="10" s="1"/>
  <c r="AQ17" i="10" a="1"/>
  <c r="AQ17" i="10" s="1"/>
  <c r="AP3" i="10" a="1"/>
  <c r="AP3" i="10" s="1"/>
  <c r="AQ3" i="10" a="1"/>
  <c r="AQ3" i="10" s="1"/>
  <c r="AP10" i="10" a="1"/>
  <c r="AP10" i="10" s="1"/>
  <c r="AP21" i="10" a="1"/>
  <c r="AP21" i="10" s="1"/>
  <c r="AP12" i="10" a="1"/>
  <c r="AP12" i="10" s="1"/>
  <c r="AP14" i="10" a="1"/>
  <c r="AP14" i="10" s="1"/>
  <c r="AM11" i="10"/>
  <c r="AP8" i="10" a="1"/>
  <c r="AP8" i="10" s="1"/>
  <c r="AP19" i="10" a="1"/>
  <c r="AP19" i="10" s="1"/>
  <c r="AP17" i="10" a="1"/>
  <c r="AP17" i="10" s="1"/>
  <c r="AQ2" i="10" a="1"/>
  <c r="AQ2" i="10" s="1"/>
  <c r="AM4" i="10"/>
  <c r="AQ13" i="10" a="1"/>
  <c r="AQ13" i="10" s="1"/>
  <c r="AQ16" i="10" a="1"/>
  <c r="AQ16" i="10" s="1"/>
  <c r="AQ15" i="10" a="1"/>
  <c r="AQ15" i="10" s="1"/>
  <c r="AM14" i="10"/>
  <c r="AP2" i="10" a="1"/>
  <c r="AP2" i="10" s="1"/>
  <c r="AQ14" i="10" a="1"/>
  <c r="AQ14" i="10" s="1"/>
  <c r="AQ9" i="10" a="1"/>
  <c r="AQ9" i="10" s="1"/>
  <c r="AQ4" i="10" a="1"/>
  <c r="AQ4" i="10" s="1"/>
  <c r="AQ21" i="10" a="1"/>
  <c r="AQ21" i="10" s="1"/>
  <c r="AP16" i="10" a="1"/>
  <c r="AP16" i="10" s="1"/>
  <c r="AQ8" i="10" a="1"/>
  <c r="AQ8" i="10" s="1"/>
  <c r="AP6" i="10" a="1"/>
  <c r="AP6" i="10" s="1"/>
  <c r="AQ11" i="10" a="1"/>
  <c r="AQ11" i="10" s="1"/>
  <c r="AP20" i="10" a="1"/>
  <c r="AP20" i="10" s="1"/>
  <c r="AP23" i="10" a="1"/>
  <c r="AP23" i="10" s="1"/>
  <c r="AQ12" i="10" a="1"/>
  <c r="AQ12" i="10" s="1"/>
  <c r="AP7" i="10" a="1"/>
  <c r="AP7" i="10" s="1"/>
  <c r="AQ20" i="10" a="1"/>
  <c r="AQ20" i="10" s="1"/>
  <c r="AQ18" i="10" a="1"/>
  <c r="AQ18" i="10" s="1"/>
  <c r="AP22" i="10" a="1"/>
  <c r="AP22" i="10" s="1"/>
  <c r="AM10" i="10"/>
  <c r="AP11" i="10" a="1"/>
  <c r="AP11" i="10" s="1"/>
  <c r="AQ22" i="10" a="1"/>
  <c r="AQ22" i="10" s="1"/>
  <c r="AM16" i="10"/>
  <c r="AP13" i="10" a="1"/>
  <c r="AP13" i="10" s="1"/>
  <c r="AQ19" i="10" a="1"/>
  <c r="AQ19" i="10" s="1"/>
  <c r="AP9" i="10" a="1"/>
  <c r="AP9" i="10" s="1"/>
  <c r="AP4" i="10" a="1"/>
  <c r="AP4" i="10" s="1"/>
  <c r="AM8" i="10"/>
  <c r="AM18" i="10"/>
  <c r="AC4" i="10"/>
  <c r="AC2" i="10"/>
  <c r="AC3" i="10"/>
  <c r="AC2" i="7"/>
  <c r="AC4" i="7"/>
  <c r="AC3" i="7"/>
  <c r="AC4" i="11"/>
  <c r="AC2" i="11"/>
  <c r="AC3" i="11"/>
  <c r="AE2" i="12"/>
  <c r="AE3" i="12"/>
  <c r="T3" i="12"/>
  <c r="AE4" i="12"/>
  <c r="T4" i="12"/>
  <c r="T2" i="12"/>
  <c r="AM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tc={23001E36-B56A-42A3-8457-B902A0344F5F}</author>
    <author>tc={4A086074-2716-404B-8891-ADA8D14B08EB}</author>
    <author>tc={36AFD9E9-270E-4309-9486-456BB1D6812C}</author>
  </authors>
  <commentList>
    <comment ref="A1" authorId="0" shapeId="0" xr:uid="{23001E36-B56A-42A3-8457-B902A0344F5F}">
      <text>
        <t>[Threaded comment]
Your version of Excel allows you to read this threaded comment; however, any edits to it will get removed if the file is opened in a newer version of Excel. Learn more: https://go.microsoft.com/fwlink/?linkid=870924
Comment:
    Should we add 2 columns before: «Date of form completion» and «Name of the person extracting data»?
Reply:
    Hmmm, we could do that.</t>
      </text>
    </comment>
    <comment ref="C1" authorId="1" shapeId="0" xr:uid="{4A086074-2716-404B-8891-ADA8D14B08EB}">
      <text>
        <t xml:space="preserve">[Threaded comment]
Your version of Excel allows you to read this threaded comment; however, any edits to it will get removed if the file is opened in a newer version of Excel. Learn more: https://go.microsoft.com/fwlink/?linkid=870924
Comment:
    Full reference citation instead?
Reply:
    Both then
</t>
      </text>
    </comment>
    <comment ref="F1" authorId="2" shapeId="0" xr:uid="{36AFD9E9-270E-4309-9486-456BB1D6812C}">
      <text>
        <t xml:space="preserve">[Threaded comment]
Your version of Excel allows you to read this threaded comment; however, any edits to it will get removed if the file is opened in a newer version of Excel. Learn more: https://go.microsoft.com/fwlink/?linkid=870924
Comment:
    «Study Design» instead?
Reply:
    Good point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tc={2E8F71F2-46E3-4CBF-80D9-4C2A23723616}</author>
    <author>tc={7935806F-705F-45F9-B8E2-A5955C4AF8F9}</author>
    <author>tc={6B28A6CA-69A4-460C-BF11-F2A2657DC252}</author>
    <author>tc={E6227C0D-6B13-458E-B173-E7615C3A06F2}</author>
  </authors>
  <commentList>
    <comment ref="A1" authorId="0" shapeId="0" xr:uid="{2E8F71F2-46E3-4CBF-80D9-4C2A23723616}">
      <text>
        <t>[Threaded comment]
Your version of Excel allows you to read this threaded comment; however, any edits to it will get removed if the file is opened in a newer version of Excel. Learn more: https://go.microsoft.com/fwlink/?linkid=870924
Comment:
    Move to the 1st place before the title and citations?
Reply:
    agreed</t>
      </text>
    </comment>
    <comment ref="D1" authorId="1" shapeId="0" xr:uid="{7935806F-705F-45F9-B8E2-A5955C4AF8F9}">
      <text>
        <t>[Threaded comment]
Your version of Excel allows you to read this threaded comment; however, any edits to it will get removed if the file is opened in a newer version of Excel. Learn more: https://go.microsoft.com/fwlink/?linkid=870924
Comment:
    Should we add 2 columns before: «Date of form completion» and «Name of the person extracting data»?
Reply:
    Hmmm, we could do that.</t>
      </text>
    </comment>
    <comment ref="F1" authorId="2" shapeId="0" xr:uid="{6B28A6CA-69A4-460C-BF11-F2A2657DC252}">
      <text>
        <t xml:space="preserve">[Threaded comment]
Your version of Excel allows you to read this threaded comment; however, any edits to it will get removed if the file is opened in a newer version of Excel. Learn more: https://go.microsoft.com/fwlink/?linkid=870924
Comment:
    Full reference citation instead?
Reply:
    Both then
</t>
      </text>
    </comment>
    <comment ref="I1" authorId="3" shapeId="0" xr:uid="{E6227C0D-6B13-458E-B173-E7615C3A06F2}">
      <text>
        <t xml:space="preserve">[Threaded comment]
Your version of Excel allows you to read this threaded comment; however, any edits to it will get removed if the file is opened in a newer version of Excel. Learn more: https://go.microsoft.com/fwlink/?linkid=870924
Comment:
    «Study Design» instead?
Reply:
    Good point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tc={3A7A0364-6326-4556-90BE-9459E094FDE4}</author>
  </authors>
  <commentList>
    <comment ref="H3" authorId="0" shapeId="0" xr:uid="{3A7A0364-6326-4556-90BE-9459E094FDE4}">
      <text>
        <t>[Threaded comment]
Your version of Excel allows you to read this threaded comment; however, any edits to it will get removed if the file is opened in a newer version of Excel. Learn more: https://go.microsoft.com/fwlink/?linkid=870924
Comment:
    95%CI calculated through SE is not matching with p-value reported estimates ; robust SEs are provided but OR is not robust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tc={1D3D24A8-4CE5-4C4F-B001-528E4CE7BB8F}</author>
    <author>tc={41760ED1-7A3D-43EA-B3A5-41E3E15F239F}</author>
    <author>tc={2DB5B4ED-443B-429B-A125-664918E54CC4}</author>
    <author>tc={EC5991C4-542A-4676-B91A-4A38002C0CCC}</author>
    <author>tc={05539A2D-3EDD-42F0-908C-FA6C5852B3FB}</author>
    <author>tc={720E3AA5-3384-4497-ACC2-B34EDE4E77DD}</author>
  </authors>
  <commentList>
    <comment ref="E29" authorId="0" shapeId="0" xr:uid="{1D3D24A8-4CE5-4C4F-B001-528E4CE7BB8F}">
      <text>
        <t xml:space="preserve">[Threaded comment]
Your version of Excel allows you to read this threaded comment; however, any edits to it will get removed if the file is opened in a newer version of Excel. Learn more: https://go.microsoft.com/fwlink/?linkid=870924
Comment:
    90% CI
</t>
      </text>
    </comment>
    <comment ref="E83" authorId="1" shapeId="0" xr:uid="{41760ED1-7A3D-43EA-B3A5-41E3E15F239F}">
      <text>
        <t xml:space="preserve">[Threaded comment]
Your version of Excel allows you to read this threaded comment; however, any edits to it will get removed if the file is opened in a newer version of Excel. Learn more: https://go.microsoft.com/fwlink/?linkid=870924
Comment:
    90% CI
</t>
      </text>
    </comment>
    <comment ref="F84" authorId="2" shapeId="0" xr:uid="{2DB5B4ED-443B-429B-A125-664918E54CC4}">
      <text>
        <t>[Threaded comment]
Your version of Excel allows you to read this threaded comment; however, any edits to it will get removed if the file is opened in a newer version of Excel. Learn more: https://go.microsoft.com/fwlink/?linkid=870924
Comment:
    90% CI</t>
      </text>
    </comment>
    <comment ref="F87" authorId="3" shapeId="0" xr:uid="{EC5991C4-542A-4676-B91A-4A38002C0CCC}">
      <text>
        <t xml:space="preserve">[Threaded comment]
Your version of Excel allows you to read this threaded comment; however, any edits to it will get removed if the file is opened in a newer version of Excel. Learn more: https://go.microsoft.com/fwlink/?linkid=870924
Comment:
    90% CI
</t>
      </text>
    </comment>
    <comment ref="K94" authorId="4" shapeId="0" xr:uid="{05539A2D-3EDD-42F0-908C-FA6C5852B3FB}">
      <text>
        <t>[Threaded comment]
Your version of Excel allows you to read this threaded comment; however, any edits to it will get removed if the file is opened in a newer version of Excel. Learn more: https://go.microsoft.com/fwlink/?linkid=870924
Comment:
    SMR</t>
      </text>
    </comment>
    <comment ref="K95" authorId="5" shapeId="0" xr:uid="{720E3AA5-3384-4497-ACC2-B34EDE4E77DD}">
      <text>
        <t>[Threaded comment]
Your version of Excel allows you to read this threaded comment; however, any edits to it will get removed if the file is opened in a newer version of Excel. Learn more: https://go.microsoft.com/fwlink/?linkid=870924
Comment:
    ASMR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tc={40BD03C3-41E6-45CE-9E57-8916C301BBF8}</author>
    <author>tc={F1D229CD-BB5D-44EE-88D4-9FA4D8E18F49}</author>
    <author>tc={F29C0EE3-7D49-4B78-A6BC-B1611355A3DF}</author>
    <author>tc={52A7C3BB-C5E5-49AF-88BA-223000B01346}</author>
  </authors>
  <commentList>
    <comment ref="F3" authorId="0" shapeId="0" xr:uid="{40BD03C3-41E6-45CE-9E57-8916C301BBF8}">
      <text>
        <t xml:space="preserve">[Threaded comment]
Your version of Excel allows you to read this threaded comment; however, any edits to it will get removed if the file is opened in a newer version of Excel. Learn more: https://go.microsoft.com/fwlink/?linkid=870924
Comment:
    90% CI
</t>
      </text>
    </comment>
    <comment ref="F9" authorId="1" shapeId="0" xr:uid="{F1D229CD-BB5D-44EE-88D4-9FA4D8E18F49}">
      <text>
        <t xml:space="preserve">[Threaded comment]
Your version of Excel allows you to read this threaded comment; however, any edits to it will get removed if the file is opened in a newer version of Excel. Learn more: https://go.microsoft.com/fwlink/?linkid=870924
Comment:
    90% CI
</t>
      </text>
    </comment>
    <comment ref="F16" authorId="2" shapeId="0" xr:uid="{F29C0EE3-7D49-4B78-A6BC-B1611355A3DF}">
      <text>
        <t>[Threaded comment]
Your version of Excel allows you to read this threaded comment; however, any edits to it will get removed if the file is opened in a newer version of Excel. Learn more: https://go.microsoft.com/fwlink/?linkid=870924
Comment:
    90% CI</t>
      </text>
    </comment>
    <comment ref="G16" authorId="3" shapeId="0" xr:uid="{52A7C3BB-C5E5-49AF-88BA-223000B01346}">
      <text>
        <t>[Threaded comment]
Your version of Excel allows you to read this threaded comment; however, any edits to it will get removed if the file is opened in a newer version of Excel. Learn more: https://go.microsoft.com/fwlink/?linkid=870924
Comment:
    90% CI</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tc={29245C8C-2661-4411-BF69-FC13611CD88B}</author>
    <author>tc={7A326156-AFC6-43D1-BB7E-48F783D13366}</author>
  </authors>
  <commentList>
    <comment ref="F11" authorId="0" shapeId="0" xr:uid="{29245C8C-2661-4411-BF69-FC13611CD88B}">
      <text>
        <t>[Threaded comment]
Your version of Excel allows you to read this threaded comment; however, any edits to it will get removed if the file is opened in a newer version of Excel. Learn more: https://go.microsoft.com/fwlink/?linkid=870924
Comment:
    Inconsistency</t>
      </text>
    </comment>
    <comment ref="F31" authorId="1" shapeId="0" xr:uid="{7A326156-AFC6-43D1-BB7E-48F783D13366}">
      <text>
        <t xml:space="preserve">[Threaded comment]
Your version of Excel allows you to read this threaded comment; however, any edits to it will get removed if the file is opened in a newer version of Excel. Learn more: https://go.microsoft.com/fwlink/?linkid=870924
Comment:
    90% CI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<sst xmlns="http://schemas.openxmlformats.org/spreadsheetml/2006/main" count="4846" uniqueCount="1317">
  <si>
    <t>Study Title</t>
  </si>
  <si>
    <t>Full reference citation (APA)</t>
  </si>
  <si>
    <t>DOI / Link</t>
  </si>
  <si>
    <t xml:space="preserve"> Publication Year</t>
  </si>
  <si>
    <t xml:space="preserve"> Study Objective
</t>
  </si>
  <si>
    <t>Study Design (e.g., source of data)</t>
  </si>
  <si>
    <t>Scope / Region</t>
  </si>
  <si>
    <t>Continent</t>
  </si>
  <si>
    <t xml:space="preserve"> Statistical Methods/ML Algorithms</t>
  </si>
  <si>
    <t>Drivers/Outcomes Assessed</t>
  </si>
  <si>
    <t>Drivers grouped into categories</t>
  </si>
  <si>
    <t xml:space="preserve"> POSITIVE Drivers Identified
 Impact of Drivers 
p-value, effect sizes, Type of effect size</t>
  </si>
  <si>
    <t xml:space="preserve"> NEGATIVE Drivers Identified
 Impact of Drivers 
p-value, effect sizes, Type of effect size</t>
  </si>
  <si>
    <t xml:space="preserve"> Number of HTA Reports Analyzed</t>
  </si>
  <si>
    <t xml:space="preserve"> Types of HTA Reports (e.g. Pre-reccomendation)</t>
  </si>
  <si>
    <t>AUTHOR of HTA REPORTS 
DROP DOWN LIST:
A - HTA BODY
B - Ministry of Health  
C - Other</t>
  </si>
  <si>
    <t xml:space="preserve"> Date range of HTA Analyses</t>
  </si>
  <si>
    <t xml:space="preserve"> Types of Health Technologies Analyzed</t>
  </si>
  <si>
    <t xml:space="preserve"> Data Sources (e.g., IQVIA Dataset, NICE website)</t>
  </si>
  <si>
    <t xml:space="preserve"> Key Findings/Conclusions  (free text)</t>
  </si>
  <si>
    <t xml:space="preserve"> Limitations Acknowledged by the Study (free text)</t>
  </si>
  <si>
    <t>Study Sponsor and/or Conflicts of Interests</t>
  </si>
  <si>
    <t>Other Notes?</t>
  </si>
  <si>
    <t>Recommendations in health technology assessments worldwide</t>
  </si>
  <si>
    <r>
      <t xml:space="preserve">Draborg, E., &amp; Kronborg Andersen, C. (2006). Recommendations in health technology assessments worldwide. </t>
    </r>
    <r>
      <rPr>
        <i/>
        <sz val="11"/>
        <color theme="1"/>
        <rFont val="Calibri"/>
        <family val="2"/>
        <charset val="161"/>
        <scheme val="minor"/>
      </rPr>
      <t>International Journal of Technology Assessment in Health Care, 22</t>
    </r>
    <r>
      <rPr>
        <sz val="11"/>
        <color theme="1"/>
        <rFont val="Calibri"/>
        <family val="2"/>
        <charset val="161"/>
        <scheme val="minor"/>
      </rPr>
      <t>(2), 155-160. doi:10.1017/S0266462306050963</t>
    </r>
  </si>
  <si>
    <t>https://doi.org/10.1017/S0266462306050963</t>
  </si>
  <si>
    <t xml:space="preserve"> HTA Drivers </t>
  </si>
  <si>
    <t xml:space="preserve">Sampling from HTA database </t>
  </si>
  <si>
    <t>Australia, Canada, Denmark, The Netherlands, New Zealand, Norway, Sweden,  England, USA.</t>
  </si>
  <si>
    <t>Europe, America, Oceania</t>
  </si>
  <si>
    <t xml:space="preserve"> Regression</t>
  </si>
  <si>
    <t xml:space="preserve">* Assessor (Internal, External, Both)
* Years of Publication
* Type of technology (Procedures, Devices, Pharmaceuticals)
* Use of Comparative Technology
* Country
* HTA Aspect (technology, economic, patient, organizational)
</t>
  </si>
  <si>
    <t>Year
Technology Type
Clinical Evidence - Comparator
jurisdiction</t>
  </si>
  <si>
    <t>* Country of Origin (Australia, Denmark, The Netherlands, Norway, Sweden, Great Britain)
*Year of Publication (1997–1999 for Research Recommendations)
*Involvement of External Assessors
*Comprehensive Assessment of Economic and Organizational Aspects (for Policy Recommendations)
*Comprehensive Assessment of Technology and Patient Aspects (for Research Recommendations)
*Great Britain (both Policy and Research Recommendations)</t>
  </si>
  <si>
    <t>* Year of Publication (2000–2002 for Policy Recommendations)
* Comprehensive Assessment of the Economic Aspect (for Research Recommendations)</t>
  </si>
  <si>
    <t>433 HTAs</t>
  </si>
  <si>
    <t>The HTAs were categorized into four groups: three for HTAs with different types of recommendations and one for HTAs with no recommendation.</t>
  </si>
  <si>
    <t>A - HTA BODY</t>
  </si>
  <si>
    <t>1989 to 2002</t>
  </si>
  <si>
    <t>"Procedures, Devices, Pharmaceuticals."</t>
  </si>
  <si>
    <t>"The HTAs were full reports written in English or one of the Scandinavian languages and were available online or by written request."</t>
  </si>
  <si>
    <t>"The inclusion of policy and research recommendations in HTAs differs strongly from country to country. The content and scope of HTAs have some impact on recommendations."</t>
  </si>
  <si>
    <t>"The study only included a selection of HTA institutions and agencies worldwide, omitting all regional and local institutions and all reports not written in English or the Scandinavian languages."</t>
  </si>
  <si>
    <t>"E. Draborg was awarded financial support from the Danish Centre for Evaluation and Health Technology Assessment."</t>
  </si>
  <si>
    <t>"The data are based on a structured literature review of the actual HTA reports, and as no internationally uniform style or methodology for such reports exists, it might be claimed that the conclusions cannot be objective."</t>
  </si>
  <si>
    <t>Different interpretation of additional evidence for HTA by the commissioned HTA body and the commissioning decision maker in Germany: whenever IQWiG and Federal Joint Committee disagree</t>
  </si>
  <si>
    <t>Dintsios, C. M., Worm, F., Ruof, J., &amp; Herpers, M. (2019). Different interpretation of additional evidence for HTA by the commissioned HTA body and the commissioning decision maker in Germany: Whenever IQWiG and Federal Joint Committee disagree. Health Economics Review, 9(35). https://doi.org/10.1186/s13561-019-0254-6</t>
  </si>
  <si>
    <t>https://doi.org/10.1186/s13561-019-0254-6</t>
  </si>
  <si>
    <t xml:space="preserve"> Comparison of HTA bodies</t>
  </si>
  <si>
    <t xml:space="preserve"> Entire HTA database</t>
  </si>
  <si>
    <t>Germany</t>
  </si>
  <si>
    <t>Europe</t>
  </si>
  <si>
    <t>* Mortality
* Unmet need
* Physicians’ drug commission positions
* Medical societies' positions
* Annual therapeutic costs of the appropriate comparative therapy</t>
  </si>
  <si>
    <t>Indication - Severity
Social Value Judgements - Medical Societies' positions
Clinical Evidence - Comparator
Economic Evidence - Budget Impact</t>
  </si>
  <si>
    <t>* IQWiG considered mortality endpoints led to downgrading of the added benefit by FJC</t>
  </si>
  <si>
    <t>90 addenda</t>
  </si>
  <si>
    <t>AMNOG Procedures</t>
  </si>
  <si>
    <t>2011 to 2017</t>
  </si>
  <si>
    <t>Pharmaceuticals</t>
  </si>
  <si>
    <t>AMNOG Dossiers, FJC Decisions, IQWiG Assessments, IQWiG Addenda</t>
  </si>
  <si>
    <t>IQWiG’s addenda have a high impact on decision-maker’s appraisals. The agreement between IQWiG’s addenda and FJC’s appraisals varies, highlighting different decisive factors between IQWiG and FJC.</t>
  </si>
  <si>
    <t>Limited to AMNOG procedures and German jurisdiction. Results may not be generalizable to other healthcare systems.</t>
  </si>
  <si>
    <t>No conflicts of interest reported.</t>
  </si>
  <si>
    <t>Agreement between IQWiG and FJC on benefit levels varies significantly depending on the therapeutic area and the type of benefit being assessed.</t>
  </si>
  <si>
    <t>Does patient and public involvement impact public health decision-making? A 10-year retrospective analysis of public consultation in Brazil</t>
  </si>
  <si>
    <t>de Freitas Lopes, A. C., Novaes, H. M. D., &amp; Soárez, P. C. (2023). Does patient and public involvement impact public health decision-making? A 10-year retrospective analysis of public consultation in Brazil. Health Research Policy and Systems, 21(1). https://doi.org/10.1186/s12961-023-01018-1</t>
  </si>
  <si>
    <t>https://doi.org/10.1186/s12961-023-01018-1</t>
  </si>
  <si>
    <t>Brazil</t>
  </si>
  <si>
    <t>America</t>
  </si>
  <si>
    <t>* Type of technology
* Demander
* Indication
* Volume of contributions by stakeholders in public consultations</t>
  </si>
  <si>
    <t>Technology Type
Social Value Judgements -  Patients Consultation</t>
  </si>
  <si>
    <t>* Increased participation of patients and families in public consultations</t>
  </si>
  <si>
    <t>None explicitly stated</t>
  </si>
  <si>
    <t>479 reports analyzed</t>
  </si>
  <si>
    <t>Adoption decisions regarding medicines, procedures, and products in the SUS</t>
  </si>
  <si>
    <t>B - Ministry of Health</t>
  </si>
  <si>
    <t>2012 to 2021</t>
  </si>
  <si>
    <t>Medicines, Procedures, and Products</t>
  </si>
  <si>
    <t>Public consultations, Conitec technical reports, Ministry of Health decisions</t>
  </si>
  <si>
    <t>Increased participation of patients and families significantly impacted the alteration of preliminary recommendations by Conitec (OR = 3.87, 95% CI 1.33-13.35, p = 0.02).</t>
  </si>
  <si>
    <t>The impact of PPI is limited to contexts and processes specific to Conitec’s jurisdiction and the Brazilian SUS.</t>
  </si>
  <si>
    <t>ACFL has worked professionally at Conitec since 2013.</t>
  </si>
  <si>
    <t>The study highlights the need for improved PPI mechanisms to reduce susceptibility to political contexts.</t>
  </si>
  <si>
    <t>The influence of cost-effectiveness and other factors on NICE decisions</t>
  </si>
  <si>
    <r>
      <t xml:space="preserve">Dakin, H., Devlin, N., Feng, Y., Rice, N., O’Neill, P., &amp; Parkin, D. (2015). The influence of cost-effectiveness and other factors on NICE decisions. </t>
    </r>
    <r>
      <rPr>
        <i/>
        <sz val="11"/>
        <color theme="1"/>
        <rFont val="Calibri"/>
        <family val="2"/>
        <charset val="161"/>
        <scheme val="minor"/>
      </rPr>
      <t>Health Economics</t>
    </r>
    <r>
      <rPr>
        <sz val="11"/>
        <color theme="1"/>
        <rFont val="Calibri"/>
        <family val="2"/>
        <charset val="161"/>
        <scheme val="minor"/>
      </rPr>
      <t>, 24(10), 1256–1271.</t>
    </r>
  </si>
  <si>
    <t>https://doi.org/10.1002/hec.3086</t>
  </si>
  <si>
    <t>England</t>
  </si>
  <si>
    <t>* Type of disease
* Children
* ICER
* Innovative
* Severity</t>
  </si>
  <si>
    <t xml:space="preserve">Indication
Indication - Pediatric
Indication - ICER
Economic Evidence - ICER
Innovation </t>
  </si>
  <si>
    <t xml:space="preserve">* LOW ICER
* Children
* Musculoskeletal
* Cancer
* Number of Observational Studies
</t>
  </si>
  <si>
    <t xml:space="preserve">* High ICER
* Respiratory
* Orphan Status
* Severity (DALY Weights)
</t>
  </si>
  <si>
    <t>763 HTA reports</t>
  </si>
  <si>
    <t>NICE technology appraisals (TAs)</t>
  </si>
  <si>
    <t>2000 - 2011</t>
  </si>
  <si>
    <t>Procedures, Devices, Pharmaceuticals</t>
  </si>
  <si>
    <t>HTAinSite dataset</t>
  </si>
  <si>
    <t>Cost-effectiveness is the principal determinant of NICE decisions. NICE’s stated cost-effectiveness threshold does not align with their actual decision-making in practice.</t>
  </si>
  <si>
    <t>* Identifying the correct ICER(s) driving decisions was challenging.
* Severity and innovation factors were not adequately measured.</t>
  </si>
  <si>
    <t>Research grant provided by a consortium of British pharmaceutical companies, including Amgen, AstraZeneca, BMS, Celgene UK &amp; Ireland, GSK, Lilly UK, Merck, Merck Serono, Pfizer, Sanofi Aventis, Schering Plough, Takeda UK, and Wyeth.</t>
  </si>
  <si>
    <t>Factors such as severity and innovation were noted as not being adequately captured in the model.</t>
  </si>
  <si>
    <t>Validity of Surrogate Endpoints and Their Impact on Coverage Recommendations: A Retrospective Analysis across International Health Technology Assessment Agencies</t>
  </si>
  <si>
    <t>Ciani, O., Grigore, B., Blommestein, H., de Groot, S., Mo¨llenkamp, M., Rabbe, S., Daubner-Bendes, R., &amp; Taylor, R. S. (2021). Validity of Surrogate Endpoints and Their Impact on Coverage Recommendations: A Retrospective Analysis across International Health Technology Assessment Agencies. Medical Decision Making, 41(4), 439-452.</t>
  </si>
  <si>
    <t>DOI: 10.1177/0272989X21994553</t>
  </si>
  <si>
    <t xml:space="preserve"> HTA Drivers 
 Comparison of HTA Bodies</t>
  </si>
  <si>
    <t xml:space="preserve"> HTA database specific product/category</t>
  </si>
  <si>
    <t>England, Scotland, France, Germany, Netherlands, Hungary, Canada, Australia</t>
  </si>
  <si>
    <t>$ Surrogate outcomes acceptance</t>
  </si>
  <si>
    <t>Clinical Evidence - Surrogate Outcomes</t>
  </si>
  <si>
    <t>$ Consideration of the level of evidence increased odds of accepting the surrogate endpoint (OR = 4.60, p = 0.005).</t>
  </si>
  <si>
    <t>$ No strong evidence of an association between surrogate acceptance and coverage recommendation (OR = 0.71, p = 0.55).</t>
  </si>
  <si>
    <t>124 HTA reports</t>
  </si>
  <si>
    <t>Pre-recommendation reports</t>
  </si>
  <si>
    <t>May 2013 - June 2018</t>
  </si>
  <si>
    <t>Pharmaceuticals, medical devices</t>
  </si>
  <si>
    <t>NICE (UK), CADTH (Canada), PBAC/MSAC (Australia), HIS/SMC (Scotland), HAS (France), IQWiG/G-BA (Germany), ZiN (Netherlands), NIPN (Hungary)</t>
  </si>
  <si>
    <t>$ Handling of surrogate evidence varied greatly across HTA agencies.</t>
  </si>
  <si>
    <t>None disclosed</t>
  </si>
  <si>
    <t>Study funded by the EU's Horizon 2020 research program</t>
  </si>
  <si>
    <t>N/A</t>
  </si>
  <si>
    <t>Assessment of the clinical and cost-effectiveness evidence
in the reimbursement decisions of new cancer drugs</t>
  </si>
  <si>
    <r>
      <t xml:space="preserve">Chauca Strand, G., Bonander, C., Jakobsson, N., Johansson, N., &amp; Svensson, M. (2022). Assessment of the clinical and cost-effectiveness evidence in the reimbursement decisions of new cancer drugs. </t>
    </r>
    <r>
      <rPr>
        <i/>
        <sz val="11"/>
        <color theme="1"/>
        <rFont val="Calibri"/>
        <family val="2"/>
        <charset val="161"/>
        <scheme val="minor"/>
      </rPr>
      <t>ESMO Open, 7</t>
    </r>
    <r>
      <rPr>
        <sz val="11"/>
        <color theme="1"/>
        <rFont val="Calibri"/>
        <family val="2"/>
        <charset val="161"/>
        <scheme val="minor"/>
      </rPr>
      <t>(5), 100569.</t>
    </r>
  </si>
  <si>
    <t>https://doi.org/10.1016/j.esmoop.2022.100569</t>
  </si>
  <si>
    <t>Sweden</t>
  </si>
  <si>
    <t xml:space="preserve">
$ Cost per QALY
$ Final outcome evidence (OS, QoL)
$ Trial design
$ Comparator choice
$ Impact of intermediate/surrogate outcomes on decision making</t>
  </si>
  <si>
    <t>Clinical Evidence - Quality
Clinical Evidence - Comparator
Economic Evidence - Budget Impact
Clinical Evidence - Surrogate Outcomes</t>
  </si>
  <si>
    <t>$ No Treatment Alternative Available</t>
  </si>
  <si>
    <t>$ Cost per QALY (Significant negative impact across all models)
$ Direct evidence on final outcomes (Negative, but not significant)
$ Randomized Controlled Trials (RCTs) (Negative, but not significant)
$ Direct comparison of treatment outcomes (Negative, but not significant)</t>
  </si>
  <si>
    <t>60 appraisals</t>
  </si>
  <si>
    <t>Reimbursement decisions for new cancer drugs</t>
  </si>
  <si>
    <t>2010 - 2020</t>
  </si>
  <si>
    <t>HTA dossiers for new cancer drugs, trial data</t>
  </si>
  <si>
    <t>Cost per QALY is a significant determinant of reimbursement decisions in Sweden. Lack of evidence on final outcomes (OS/QoL) results in lower chances of reimbursement, especially for high-cost treatments.</t>
  </si>
  <si>
    <t>Study limited to Swedish context; findings may not be applicable to other jurisdictions. High uncertainty in QALY estimates and evidence on patient-centered outcomes.</t>
  </si>
  <si>
    <t>No direct conflicts of interest reported.</t>
  </si>
  <si>
    <t>Recommends incorporating stronger patient-centered evidence and improving QALY measurement accuracy for better decision-making.</t>
  </si>
  <si>
    <t>Decision making by NICE: examining the influences of evidence, process, and context</t>
  </si>
  <si>
    <r>
      <t xml:space="preserve">Cerri, K. H., Knapp, M., &amp; Fernández, J. L. (2014). Decision making by NICE: examining the influences of evidence, process, and context. </t>
    </r>
    <r>
      <rPr>
        <i/>
        <sz val="11"/>
        <color theme="1"/>
        <rFont val="Calibri"/>
        <family val="2"/>
        <charset val="161"/>
        <scheme val="minor"/>
      </rPr>
      <t>Health Economics, Policy and Law, 9</t>
    </r>
    <r>
      <rPr>
        <sz val="11"/>
        <color theme="1"/>
        <rFont val="Calibri"/>
        <family val="2"/>
        <charset val="161"/>
        <scheme val="minor"/>
      </rPr>
      <t>(1), 119-141.</t>
    </r>
  </si>
  <si>
    <t>https://doi.org/10.1017/S1744133113000030</t>
  </si>
  <si>
    <t xml:space="preserve">$ Clinical superiority demonstrated in RCT 
$ ICER 
$ Number of technologies appraised simultaneously
$ Year of appraisal </t>
  </si>
  <si>
    <t>Clinical Evidence - level
Economic Evidence - ICER
Number of Technologies appraised simultaneously
Year</t>
  </si>
  <si>
    <t xml:space="preserve">$ Clinical superiority demonstrated in RCT decreases the log odds of restriction and non-recommendation 
$ Lower ICER values reduce the likelihood of restrictions or non-recommendations 
$ Increase in the number of technologies appraised simultaneously influences a restriction rather than non-recommendation 
$ Later years of appraisal positively impact restrictions </t>
  </si>
  <si>
    <t xml:space="preserve">$ Lack of clinical superiority increases the likelihood of restrictions or non-recommendations 
$ Higher ICER values are associated with a higher probability of restriction or non-recommendation 
$ More technologies in the same appraisal increase the odds of restrictions 
$ Early year of appraisal leads to higher non-recommendations </t>
  </si>
  <si>
    <t>65 technology appraisals (118 technologies)</t>
  </si>
  <si>
    <t>NICE Technology Appraisals (TAs)</t>
  </si>
  <si>
    <t>2004 - 2009</t>
  </si>
  <si>
    <t>NICE Technology Appraisals, manufacturer data, HTA agency reports, GDP data</t>
  </si>
  <si>
    <t>The proportion of restrictions and non-recommendations issued by NICE is increasing over time. The demonstration of clinical superiority is central to the decision-making process. The ICER and number of technologies appraised simultaneously also significantly impact outcomes.</t>
  </si>
  <si>
    <t>Exclusion of non-pharmaceutical technologies may limit generalizability. Analysis is restricted to NICE pharmaceutical appraisals only. Information was extracted from publicly available sources, which might not capture all rationale or discussions.</t>
  </si>
  <si>
    <t>The study emphasizes the need to account for process and context factors in understanding NICE decisions. Limitations include potential underrepresentation of complex decision rationales not included in publicly available data.</t>
  </si>
  <si>
    <t>Public funding of pharmaceuticals in the Netherlands: investigating the effect of evidence, process and context on CVZ decision-making</t>
  </si>
  <si>
    <r>
      <t xml:space="preserve">Cerri, K. H., Knapp, M., &amp; Fernandez, J.-L. (2014). Public funding of pharmaceuticals in the Netherlands: Investigating the effect of evidence, process and context on CVZ decision-making. </t>
    </r>
    <r>
      <rPr>
        <i/>
        <sz val="11"/>
        <color theme="1"/>
        <rFont val="Calibri"/>
        <family val="2"/>
        <charset val="161"/>
        <scheme val="minor"/>
      </rPr>
      <t>The European Journal of Health Economics</t>
    </r>
    <r>
      <rPr>
        <sz val="11"/>
        <color theme="1"/>
        <rFont val="Calibri"/>
        <family val="2"/>
        <charset val="161"/>
        <scheme val="minor"/>
      </rPr>
      <t>, 15(7), 681–695. https://doi.org/10.1007/s10198-013-0514-z</t>
    </r>
  </si>
  <si>
    <t>https://doi.org/10.1007/s10198-013-0514-z</t>
  </si>
  <si>
    <t>Netherlands</t>
  </si>
  <si>
    <t>$ Use of active comparator in RCT
$ Demonstrated clinical superiority in RCT
$ Budgetary impact
$ Cancer therapy
$ Therapies for cardiovascular diseases
$ Therapies for obstetrics, gynaecology, urinary-tract disorders
$ Size of eligible population
$ Inclusion of patient submission
$ Lack of data on duration of RCT</t>
  </si>
  <si>
    <t>Clinical Evidence - Level
Clinical Evidence - Quality
Indication - Oncology
Indication - Cardiovascular
Indication - Gynecology
Economic Evidence - Budget Impact
Economic Evidence - Prevalence</t>
  </si>
  <si>
    <t>$ Therapies for cardiovascular diseases
$ Therapies for obstetrics, gynaecology, urinary-tract disorders
$ Inclusion of patient submission
$ Lack of data on duration of RCT</t>
  </si>
  <si>
    <t>$ Use of active comparator in RCT
$ Demonstrated clinical superiority in RCT
$ Cancer therapy
$ Size of eligible population</t>
  </si>
  <si>
    <t>256 coverage decisions</t>
  </si>
  <si>
    <t>Technology appraisals of pharmaceutical technologies</t>
  </si>
  <si>
    <t>January 2004 to June 2009</t>
  </si>
  <si>
    <t>CVZ website $ Publicly available data sources</t>
  </si>
  <si>
    <t>"Coverage decision-making is a complex process involving numerous clinical, disease, and affordability considerations. Clinical evidence, such as the use of active comparators and demonstration of superiority, as well as economic factors like budget impact, significantly influence CVZ decisions."</t>
  </si>
  <si>
    <t>No specific conflicts of interest reported. Acknowledgments given to Michael Drummond and Alistair McGuire for valuable comments.</t>
  </si>
  <si>
    <t>Health technology assessment in Switzerland: a descriptive analysis of “Coverage with Evidence Development” decisions from 1996 to 2013</t>
  </si>
  <si>
    <r>
      <t xml:space="preserve">Brügger, U., Horisberger, B., Ruckstuhl, A., Plessow, R., Eichler, K., &amp; Gratwohl, A. (2015). </t>
    </r>
    <r>
      <rPr>
        <i/>
        <sz val="11"/>
        <color theme="1"/>
        <rFont val="Calibri"/>
        <family val="2"/>
        <charset val="161"/>
        <scheme val="minor"/>
      </rPr>
      <t>Health technology assessment in Switzerland: A descriptive analysis of "Coverage with Evidence Development" decisions from 1996 to 2013</t>
    </r>
    <r>
      <rPr>
        <sz val="11"/>
        <color theme="1"/>
        <rFont val="Calibri"/>
        <family val="2"/>
        <charset val="161"/>
        <scheme val="minor"/>
      </rPr>
      <t>. BMJ Open, 5(3), e007021. https://doi.org/10.1136/bmjopen-2014-007021</t>
    </r>
  </si>
  <si>
    <t>https://doi.org/10.1136/bmjopen-2014-007021</t>
  </si>
  <si>
    <t>Switzerland</t>
  </si>
  <si>
    <t>$ Institutional factors (e.g., association with FOPH, change of federal councillor, change of commission president)
$ Restrictions and requirements (e.g., restriction to specialists, registry requirements)
$ Duration of evaluation
$ Final reimbursement decision</t>
  </si>
  <si>
    <t>$ Association with FOPH (p &lt; 0.01)
$ Change in federal councillor (p &lt; 0.05)
$ Change in commission president (p &lt; 0.05)</t>
  </si>
  <si>
    <t>$ Presence of restrictions or requirements was associated with longer time to decision (p &lt; 0.01)</t>
  </si>
  <si>
    <t>152 contested medical services and 234 decisions</t>
  </si>
  <si>
    <t>Reimbursement decisions for contested medical services</t>
  </si>
  <si>
    <t>1996 to 2013</t>
  </si>
  <si>
    <t>Therapeutic procedures, diagnostics, medical devices, alternative medicine procedures, programmes</t>
  </si>
  <si>
    <t>Federal Office of Public Health (FOPH) website, KLV/OPAS procedures ordinance</t>
  </si>
  <si>
    <t>- Institutional changes were the primary factors associated with CED decisions; Introduction of CED enabled early access to promising technologies; Impact on patient outcomes and costs remains unknown; CED increases the complexity of the decision-making process; There is a need for evaluation and improvement of the HTA system</t>
  </si>
  <si>
    <t>- Use of publicly available data with inconsistencies; Retrospective nature of the study; Absence of data on patient outcomes and costs; Did not evaluate decisions with a direct 'yes' or 'no'; Potential impact of internal processes and structural changes could not be fully assessed; Results may not be generalizable to other countries</t>
  </si>
  <si>
    <t>- Funded in part by a grant from the Bangerter Foundation; No competing interests reported</t>
  </si>
  <si>
    <t>- Mixed-methods approach combining quantitative analysis with qualitative interviews; Lack of clear criteria for CED decisions was identified; CED recommendations should follow internationally agreed principles; Need for evaluation and improvement of the HTA system</t>
  </si>
  <si>
    <t>Role of economic evidence in coverage decision-making in South Korea</t>
  </si>
  <si>
    <t>Bae, E.-Y., Kim, H. J., Lee, H.-J., Jang, J., Lee, S. M., Jung, Y., Yoon, N., Kim, T. K., Kim, K., &amp; Yang, B.-M. (2018). Role of economic evidence in coverage decision-making in South Korea. PLOS ONE, 13(10), e0206121. https://doi.org/10.1371/journal.pone.0206121</t>
  </si>
  <si>
    <t>https://doi.org/10.1371/journal.pone.0206121</t>
  </si>
  <si>
    <t>South Korea</t>
  </si>
  <si>
    <t>$ Incremental Cost-Effectiveness Ratio (ICER)
$ Severity of disease
$ Availability of substitutes
$ Budget impact
$ Uncertainty
$ Prior submissions
$ Availability of head-to-head trials
$ Timing of submission (policy change)</t>
  </si>
  <si>
    <t>Economic Evidence - ICER
Indication - Severity
Economic Evidence - Budget Impact
Clinical Evidence - Uncertainty
Previous HTA Submissions
Year
Legislation - Policy Change</t>
  </si>
  <si>
    <t>$ Lower ICER increased probability of acceptance (p &lt; 0.001)
$ Drugs used for severe diseases more likely to be accepted (OR=19.11, p &lt; 0.10)
$ Drugs with no substitutes more likely to be accepted (OR=7.936, p &lt; 0.10)</t>
  </si>
  <si>
    <t>$ Higher ICER decreased probability of acceptance
$ "Very uncertain" ICER decreased probability of acceptance (OR=0.003, p &lt; 0.001)</t>
  </si>
  <si>
    <t>91 cases</t>
  </si>
  <si>
    <t>Submissions of new drugs with economic evaluation data to HIRA</t>
  </si>
  <si>
    <t>January 2007 to December 2016</t>
  </si>
  <si>
    <t>New drugs requiring economic evaluation for reimbursement decisions</t>
  </si>
  <si>
    <t>HIRA internal documents, PBCAC minutes, ESC meeting documents</t>
  </si>
  <si>
    <t xml:space="preserve">$ Cost-effectiveness is a key factor in reimbursement decisions.
$ Drugs for severe diseases and with no substitutes are more likely to be accepted.
$ Acceptance probability declines with higher uncertainty in evidence.
$ Policy changes in 2013 may have increased acceptance rates for severe-disease drugs.
$ Some variables difficult to define clearly.
$ Potential unknown factors not addressed.
$ Confidentiality constraints on data.
</t>
  </si>
  <si>
    <t>$ Small sample size may affect results.</t>
  </si>
  <si>
    <t>$ No specific funding received.</t>
  </si>
  <si>
    <t>$ Explores impact of policy changes like risk-sharing schemes.
$ Logistic regression used to model decision factors.
$ Model performance evaluated by correctly classified cases.</t>
  </si>
  <si>
    <t>Analysing criteria for price and reimbursement of orphan drugs in Spain</t>
  </si>
  <si>
    <t>Badia, X., Gil, A., Poveda-Andrés, J. L., Shepherd, J., &amp; Tort, M. (2019). Analysing criteria for price and reimbursement of orphan drugs in Spain. Farmacia Hospitalaria, 43(4), 117-124. https://doi.org/10.7399/fh.11147</t>
  </si>
  <si>
    <t>https://doi.org/10.7399/fh.11147</t>
  </si>
  <si>
    <t>Spain</t>
  </si>
  <si>
    <t>$ Therapeutic Area (Oncologic vs. Non-Oncologic)
$ Existence of Alternative Treatment
$ Rarity of the Disease (Orphan vs. Ultra-Orphan); $ Clinical Trial Outcomes (Direct vs. Surrogate)
$ Therapeutic Positioning Report (TPR) Assessment (Positive vs. Negative)</t>
  </si>
  <si>
    <t>Indication - Oncology
Innovation - Unmet Need
Indication - Orphan Drugs</t>
  </si>
  <si>
    <t>$ Positive TPR opinion associated with P&amp;R approval (statistically significant in multivariate regression)
$ No therapeutic alternatives associated with P&amp;R approval (statistically significant in multivariate regression)</t>
  </si>
  <si>
    <t>$ None specifically identified</t>
  </si>
  <si>
    <t>64 orphan drugs</t>
  </si>
  <si>
    <t>Price and Reimbursement (P&amp;R) decisions</t>
  </si>
  <si>
    <t>January 2012 to June 2018</t>
  </si>
  <si>
    <t>Orphan Drugs approved by the European Commission</t>
  </si>
  <si>
    <t>$ EMA website; $ AEMPS website; $ Botplus; $ Spanish Ministry of Health website</t>
  </si>
  <si>
    <t>$ Having a positive TPR and no therapeutic alternatives are associated with positive P&amp;R approval in Spain.; $ It remains challenging to establish the driving criteria for P&amp;R approval of orphan drugs in Spain.</t>
  </si>
  <si>
    <t>$ Lack of access to public information in Spain.; $ Possible misclassification of P&amp;R status due to limited data.; $ Regression analysis did not consider all variables affecting P&amp;R decisions.; $ Small sample size may reduce statistical power.</t>
  </si>
  <si>
    <t>$ No conflicts of interest declared.; $ No specific funding reported.</t>
  </si>
  <si>
    <t>$ First study analyzing criteria determining P&amp;R decisions in Spain after EC approval.; $ Mean time for P&amp;R approval has shortened in recent years.</t>
  </si>
  <si>
    <t>Trends and Determinants in Reimbursement Decision-Making in Poland in the Years 2013–2015</t>
  </si>
  <si>
    <t>Kawalec, P., Malinowski, K. P., &amp; Trąbka, W. (2018). Trends and determinants in reimbursement decision-making in Poland in the years 2013–2015. *Expert Review of Pharmacoeconomics &amp; Outcomes Research*, 18(2), 197–205. https://doi.org/10.1080/14737167.2018.1384696</t>
  </si>
  <si>
    <t>https://doi.org/10.1080/14737167.2018.1384696</t>
  </si>
  <si>
    <t>Poland</t>
  </si>
  <si>
    <t>$Relative Efficacy
$Overall Efficacy
$Safety
$Cost of Therapy
$Cost-Utility
$Quality of HTA Dossier
$Recommendations Issued by HTA $Agencies Abroad
$Expert Opinions
$Year of Submission
$Orphan Drug Status</t>
  </si>
  <si>
    <t>Clinical Evidence - Estimate of Effect
Clinical Evidence - Safety
Economic Evidence - ICER
Economic Evidence - Price
Year
Indication - Orphan Drugs</t>
  </si>
  <si>
    <t>Relative Efficacy:
Higher than comparator: OR = 167.98 (95% CI: 38.04–741.74), p &lt; 0.001 (Univariate)
Higher than comparator: OR = 45.30 (95% CI: 6.69–306.64), p &lt; 0.001 (Multivariate Model 2)
Same as comparator: OR = 55.07 (95% CI: 12.61–240.46), p &lt; 0.001 (Univariate)
Overall Efficacy:
Acceptable: OR = 135.45 (95% CI: 18.13–1011.88), p &lt; 0.001 (Univariate)
Safety:
Acceptable: OR = 7.79 (95% CI: 3.34–18.23), p &lt; 0.001 (Univariate)
Cost-Utility:
Acceptable: OR = 4.38 (95% CI: 2.16–8.86), p &lt; 0.001 (Univariate)
Acceptable: OR = 8.41 (95% CI: 1.30–54.24), p = 0.025 (Multivariate Model 1)
Acceptable: OR = 4.60 (95% CI: 1.63–12.99), p = 0.004 (Multivariate Model 2)
Quality of HTA Dossier:
Acceptable: OR = 14.68 (95% CI: 7.73–27.88), p &lt; 0.001 (Univariate)
Acceptable: OR = 5.44 (95% CI: 1.50–19.76), p = 0.010 (Multivariate Model 2)
Recommendations Issued by HTA Agencies Abroad:
Acceptable: OR = 5.32 (95% CI: 1.08–26.23), p = 0.040 (Multivariate Model 2)
Expert Opinions:
Acceptable: OR = 6.69 (95% CI: 1.31–34.19), p = 0.022 (Univariate)</t>
  </si>
  <si>
    <t>267 records collected (263 TC statements, 265 HTA recommendations)</t>
  </si>
  <si>
    <t>TC statements; HTA recommendations; MoH reimbursement decisions</t>
  </si>
  <si>
    <t>Polish Agency for Health Technology Assessment and Tariff System (AOTMiT)</t>
  </si>
  <si>
    <t>2013–2015</t>
  </si>
  <si>
    <t>Various drugs seeking reimbursement in Poland</t>
  </si>
  <si>
    <t>TC statements, HTA recommendations, and MoH decisions from AOTMiT and MoH websites</t>
  </si>
  <si>
    <t>Significant decrease in positive HTA recommendations in 2015 due to more stringent appraisal processes; Poor agreement between HTA recommendations and MoH reimbursement decisions; Relative efficacy, safety, cost-utility, and dossier quality are significant predictors of positive recommendations</t>
  </si>
  <si>
    <t>Incomplete data for 2016; Study results based on publicly available data</t>
  </si>
  <si>
    <t>No study funding or conflicts of interest disclosed</t>
  </si>
  <si>
    <t>Study highlighted policy-driven changes in 2015 that affected HTA recommendations, possibly influenced by a different basket of drugs</t>
  </si>
  <si>
    <t xml:space="preserve">Health Technology Assessment–Informed Decision Making by the Federal Joint Committee/Institute for Quality and Efficiency in Health Care in Germany and the National Institute for Health and Care Excellence in England: The Role of Budget Impact. </t>
  </si>
  <si>
    <r>
      <t xml:space="preserve">Schaefer, R., Hernández, D., Bärnighausen, T., Kolominsky-Rabas, P., &amp; Schlander, M. (2023). Health Technology Assessment–Informed Decision Making by the Federal Joint Committee/Institute for Quality and Efficiency in Health Care in Germany and the National Institute for Health and Care Excellence in England: The Role of Budget Impact. </t>
    </r>
    <r>
      <rPr>
        <i/>
        <sz val="11"/>
        <color theme="1"/>
        <rFont val="Calibri"/>
        <family val="2"/>
        <charset val="161"/>
        <scheme val="minor"/>
      </rPr>
      <t>Value in Health, 26</t>
    </r>
    <r>
      <rPr>
        <sz val="11"/>
        <color theme="1"/>
        <rFont val="Calibri"/>
        <family val="2"/>
        <charset val="161"/>
        <scheme val="minor"/>
      </rPr>
      <t>(7), 1032–1044.</t>
    </r>
  </si>
  <si>
    <t>https://doi.org/10.1016/j.jval.2023.02.018</t>
  </si>
  <si>
    <t>Germany, England</t>
  </si>
  <si>
    <t>Comparative effectiveness (dummy)
Clinical evidence study/RCT (dummy)
Appropriate comparative therapy
Budget impact (log, various terms)
Orphan drug status</t>
  </si>
  <si>
    <t>Clinical Evidence - Level
Clinical Evidence - Comparator
Economic Evidence - Budget Impact
Indication - Orphan Drugs</t>
  </si>
  <si>
    <t>Comparative effectiveness (dummy)
Clinical evidence study/RCT (dummy)
Budget impact (log, various terms)</t>
  </si>
  <si>
    <t>Budget Impact on G-BA/IQWiG decisions</t>
  </si>
  <si>
    <t>2011-2018</t>
  </si>
  <si>
    <t>Drugs, Medical Devices, Other Interventions</t>
  </si>
  <si>
    <t>NICE and G-BA/IQWiG Websites</t>
  </si>
  <si>
    <t>BI affects decisions in NICE and G-BA/IQWiG</t>
  </si>
  <si>
    <t>No financial support for this research</t>
  </si>
  <si>
    <t>Appraising Drugs Based on Cost-effectiveness and Severity of Disease in Norwegian Drug Coverage Decisions</t>
  </si>
  <si>
    <r>
      <t xml:space="preserve">Tranvåg, E. J., Haaland, Ø. A., Robberstad, B., &amp; Norheim, O. F. (2022). Appraising Drugs Based on Cost-effectiveness and Severity of Disease in Norwegian Drug Coverage Decisions. </t>
    </r>
    <r>
      <rPr>
        <i/>
        <sz val="11"/>
        <color theme="1"/>
        <rFont val="Calibri"/>
        <family val="2"/>
        <charset val="161"/>
        <scheme val="minor"/>
      </rPr>
      <t>JAMA Network Open, 5</t>
    </r>
    <r>
      <rPr>
        <sz val="11"/>
        <color theme="1"/>
        <rFont val="Calibri"/>
        <family val="2"/>
        <charset val="161"/>
        <scheme val="minor"/>
      </rPr>
      <t>(6), e2219503.</t>
    </r>
  </si>
  <si>
    <t>doi:10.1001/jamanetworkopen.2022.19503</t>
  </si>
  <si>
    <t>Norway</t>
  </si>
  <si>
    <t>$ ICER (Incremental Cost-Effectiveness Ratio)
$ Severity of Disease
$ Comparative Effectiveness
$ Clinical Evidence (e.g., RCT Availability)
$ Appropriate Comparative Therapy
$ Negotiated Drug Prices
$ Budget Impact (Minimum, Average, Maximum)
$ Disease Type / Therapeutic Area
$ Orphan Drug Status
$ Severity-Differentiated Cost-Effectiveness Thresholds</t>
  </si>
  <si>
    <t>Economic Evidence - ICER
Indication - Severity
Clinical Evidence
Clinical Evidence - Comparator
Economic Evidence - Price
Economic Evidence - Budget Impact
Indication
Indication - Orphan Drugs</t>
  </si>
  <si>
    <t>$ ICER
$ Severity of disease
$ Comparative Effectiveness</t>
  </si>
  <si>
    <t>- Incremental cost-effectiveness ratio (ICER) - high values reduce approval odds</t>
  </si>
  <si>
    <t>188</t>
  </si>
  <si>
    <t>Pre-recommendation HTA</t>
  </si>
  <si>
    <t>2014-2019</t>
  </si>
  <si>
    <t>Cancer, non-cancer drugs</t>
  </si>
  <si>
    <t>Confidential drug price information, Norwegian HTA database</t>
  </si>
  <si>
    <t>Cost-effectiveness estimates systematically adjusted for fair distribution of health outcomes.</t>
  </si>
  <si>
    <t>Limitations on access to complete information due to confidentiality.</t>
  </si>
  <si>
    <t>Transparency vs. Closed-Door Policy: Do Process Characteristics Impact Coverage Decisions?</t>
  </si>
  <si>
    <t>Fischer, K. E., Rogowski, W. H., Leidl, R., &amp; Stollenwerk, B. (2013). Transparency vs. closed-door policy: Do process characteristics have an impact on the outcomes of coverage decisions? Health Policy, 112(3), 187-196.</t>
  </si>
  <si>
    <t>doi:10.1016/j.healthpol.2013.04.011</t>
  </si>
  <si>
    <t>England, Germany, Sweden, Australia, Netherlands, Canada, USA, France</t>
  </si>
  <si>
    <t>$ Types of participating stakeholders
$ Degree of stakeholder involvement (information provision, appeal, voting)
$ Amount of information published during/after the decision process
$ Type of information provided (Transparency)
$ Scientific rigour in assessment of effectiveness
$ Scientific rigour in assessment of costs/cost-effectiveness
$ Judgement of effectiveness after assessment
$ Judgement of cost-effectiveness after assessment
$ Technology type (Prescribed medicine vs. other technologies)
$ Health condition (Neoplasm, Endocrine, Circulatory diseases)</t>
  </si>
  <si>
    <t>Social Value Judgements - Stakeholder Involvements
Clinical Evidence - Estimate of Effect
Clinical Evidence - Quality
Economic Evidence - ICER
Technology Type</t>
  </si>
  <si>
    <t>Scientific rigour of cost assessment (assess CE): "The use of rigorous methods for the assessment of costs/cost-effectiveness (OR = 6.26, p = 0.06) increased the likelihood of a positive coverage decision."
Judgement of effectiveness: "If effectiveness was considered favourable, then nearly all decisions were positive (37/39)."
Judgement of cost-effectiveness: "If cost-effectiveness was judged to be favourable, all decisions were positive."
Number of stakeholders involved in voting: "A higher number of stakeholders involved in voting (odds ratio = 2.52; p = 0.03) increased the likelihood of a positive outcome."
Involvement of stakeholders when evidence was uncertain: "In cases of uncertain decisions, the involvement of stakeholders through voting increased the likelihood of a positive coverage decision."</t>
  </si>
  <si>
    <t>Technology type (prescribed medicine): "If the technology was a prescribed medicine, a positive coverage decision was less likely (OR = 0.048; p = 0.003)."
Health condition (endocrine, nutritional, metabolic disease): "Technologies dealing with endocrine, nutritional or metabolic disorders were more frequently rejected (p = 0.0311)."
Unfavourable judgement of effectiveness: "If effectiveness was judged to be unfavourable, negative decision outcomes were more frequent."
Unfavourable judgement of cost-effectiveness: "77% of technologies with unfavourable costs/cost-effectiveness were negative."</t>
  </si>
  <si>
    <t>Coverage Decisions</t>
  </si>
  <si>
    <t>2006-2011</t>
  </si>
  <si>
    <t>Pharmaceuticals and other technologies</t>
  </si>
  <si>
    <t>Survey data</t>
  </si>
  <si>
    <t>Participation and assessment methods impact positive decisions when evidence is uncertain</t>
  </si>
  <si>
    <t>Sample size is small, quasi-complete separation in logistic regression</t>
  </si>
  <si>
    <t>Funded by university research</t>
  </si>
  <si>
    <t>Impact of patient outcomes and cost aspects on reimbursement recommendations in Poland in 2012–2014</t>
  </si>
  <si>
    <t>Krzysztof Piotr Malinowski, Paweł Kawalec, Wojciech Trąbka. (2016). Impact of patient outcomes and cost aspects on reimbursement recommendations in Poland in 2012–2014. Health Policy, 120(10), 1249–1255.</t>
  </si>
  <si>
    <t>https://doi.org/10.1016/j.healthpol.2016.09.016</t>
  </si>
  <si>
    <t>Efficacy
Safety
Cost of Therapy
Cost-Effectiveness
Quality of Evidence
Orphan Drug Status
Recommendations in Other Countries</t>
  </si>
  <si>
    <t>Clinical Evidence - Estimate of Effect
Clinical Evidence - Safety
Clinical Evidence - Quality
Economic Evidence - ICER
Indication - Orphan Drugs
Previous HTA Decisions - Other Countries</t>
  </si>
  <si>
    <t>Efficacy
Safety
Quality of Evidence
Recommendations in Other Countries
Orphan Drug Status (implicitly positive due to the context and special consideration)</t>
  </si>
  <si>
    <t>Cost of Therapy
Cost-Effectiveness</t>
  </si>
  <si>
    <t>Pre-recommendation</t>
  </si>
  <si>
    <t>2012-2014</t>
  </si>
  <si>
    <t>Drugs</t>
  </si>
  <si>
    <t>AOTMiT Website</t>
  </si>
  <si>
    <t>Patient outcome is prioritized over cost factors for positive reimbursement recommendations.</t>
  </si>
  <si>
    <t>Some recommendations lacked detailed economic and clinical data.</t>
  </si>
  <si>
    <t>None</t>
  </si>
  <si>
    <t>Reimbursement Decisions of the All Wales Medicines Strategy Group: Influence of Policy and Clinical and Economic Factors</t>
  </si>
  <si>
    <t>Linley, W. G., &amp; Hughes, D. A. (2012). Reimbursement decisions of the All Wales Medicines Strategy Group: Influence of policy and clinical and economic factors. *Pharmacoeconomics*, 30(9), 779–794. https://doi.org/10.2165/11593240-000000000-00000</t>
  </si>
  <si>
    <t>Wales</t>
  </si>
  <si>
    <t>Influence of cost effectiveness
Quality of clinical evidence
Quantity of clinical evidence
Disease characteristics (including rarity)
Budget impact
A range of other factors on the recommendations of AWMSG and its subcommittee, the New Medicines Group (NMG)</t>
  </si>
  <si>
    <t>Economic Evidence - ICER
Clinical Evidence - Quality
Economic Evidence - Budget Impact</t>
  </si>
  <si>
    <t>PSA: 1.4364 (Positive effect on recommendation)
No.Studies: 0.4187 (Positive effect on recommendation)
BurdenYLL: 1.0839 (Positive effect on recommendation)
UltraOrphan: 1.2396 (Positive effect on recommendation)</t>
  </si>
  <si>
    <t>Budget Impact: -0.0009 (Negative effect on recommendation)
Innovative: -1.1827 (Negative effect on recommendation)
RCTqual: -2.8259 (Negative effect on recommendation)
PtGrpSub: -0.8934 (Negative effect on recommendation)</t>
  </si>
  <si>
    <t>47 HTA reports analyzed</t>
  </si>
  <si>
    <t>March 2007 - December 2009</t>
  </si>
  <si>
    <t>AWMSG Website and public domain data</t>
  </si>
  <si>
    <t>Presence of probabilistic sensitivity analyses (PSAs) positively influences decisions, but high-quality RCTs have a negative influence on recommendations.</t>
  </si>
  <si>
    <t>Lack of access to non-public submission documentation; small sample size limits generalizability.</t>
  </si>
  <si>
    <t>Study funded by Bangor University PhD studentship; DAH was Deputy Health Economist for AWMSG.</t>
  </si>
  <si>
    <t>“Yes”, “No” or “Yes, but”? Multinomial modelling of NICE decision-making</t>
  </si>
  <si>
    <t>Dakin, H. A., Devlin, N. J., &amp; Odeyemi, I. A. O. (2006). “Yes”, “No” or “Yes, but”? Multinomial modelling of NICE decision-making. *Health Policy*, 77(3), 352–367.</t>
  </si>
  <si>
    <t>https://doi.org/10.1016/j.healthpol.2005.08.008</t>
  </si>
  <si>
    <t>$ Date
$ Patient group submission
$ NoRCTs
$ RCTsize
$ RCTquality
$ RCTrelevance
$ RCTsignificance
$ SR
$ Observational
$ BudgetImpact
$ No alternative treatments
$ CUA
$ CQG
$ CER
$ Pharmaceutical
$ Proportion of appraisals with appeal
$ Proportion of appeals partially upheld</t>
  </si>
  <si>
    <t>Year
Clinical Evidence - level
Clinical Evidence - Number of Patients
Clinical Evidence - Quality
Economic Evidence - Budget Impact</t>
  </si>
  <si>
    <t>CUA (Relative risk ratio: 6.6611)
Date (Months)
SR (Studies)
Pharmaceutical (for Not recommended vs. routine, Relative risk ratio: 0.3001, which is protective)</t>
  </si>
  <si>
    <t>Patient group submission (Relative risk ratio: 0.2113)
NoRCTs (Relative risk ratio: 0.8986)
Observational (Studies)</t>
  </si>
  <si>
    <t>87 HTAs</t>
  </si>
  <si>
    <t>Recommendations for routine use, restricted use, or not recommended.</t>
  </si>
  <si>
    <t>The HTAs were published between 1999 and 2003.</t>
  </si>
  <si>
    <t>Pharmaceuticals and other interventions (e.g., diagnostic tools, surgery)</t>
  </si>
  <si>
    <t>NICE Website</t>
  </si>
  <si>
    <t>* The presence of patient group submissions and number of RCTs played a significant role in NICE decision-making. * The number of RCTs significantly impacted the likelihood of receiving a recommendation for routine use. * The date of publication influenced the chance of being rejected.</t>
  </si>
  <si>
    <t>The small sample size may limit the statistical power to detect significant differences. Other factors (e.g., university producing the HTA report) may play a behind-the-scenes role not captured in this analysis.</t>
  </si>
  <si>
    <t>No specific sponsor reported.</t>
  </si>
  <si>
    <t>Future research should include additional HTAs as they become available and explore the role of uncertainty around CER.</t>
  </si>
  <si>
    <t>Recommendations in Health Technology Assessments Worldwide</t>
  </si>
  <si>
    <t>Schmitz, S., McCullagh, L., Adams, R., Barry, M., &amp; Walsh, C. (2016). Identifying and revealing the importance of decision-making criteria for health technology assessment: A retrospective analysis of reimbursement recommendations in Ireland. *PharmacoEconomics, 34*(9), 925–937.</t>
  </si>
  <si>
    <t>[https://doi.org/10.1007/s40273-016-0406-z](https://doi.org/10.1007/s40273-016-0406-z)</t>
  </si>
  <si>
    <t>Ireland</t>
  </si>
  <si>
    <t xml:space="preserve">
$ Cost effectiveness
$ Budget impact
$ Safety and tolerability
$ Process utility
$ Unmet needs
$ Orphan status
$ Disadvantaged population
$ End of life
$ Severe disease
$ Innovation
$ Reversibility
$ Quality of evidence
$ Uncertainty</t>
  </si>
  <si>
    <t xml:space="preserve">Economic Evidence - ICER
Economic Evidence  - Budget Impact
Clinical Evidence - Safety
Clinical Evidence - Quality
Clinical Evidence - Uncertainty
Indication - Orphan Drugs
Indication - Equity
Indication - Severity
Innovation
 </t>
  </si>
  <si>
    <t xml:space="preserve"> Intercept: A positive intercept indicates a base likelihood of a positive recommendation.
Quality of evidence: Positive coefficients for quality of evidence suggest that better evidence quality increases the likelihood of a positive recommendation.
Safety and tolerability: A small positive coefficient suggests that safer interventions might slightly increase the probability of a positive recommendation.
</t>
  </si>
  <si>
    <t>ICER: Negative coefficients for ICER across all scenarios suggest that a higher ICER (incremental cost-effectiveness ratio) decreases the likelihood of a positive recommendation.
Year: A negative coefficient for the year variable indicates that as the year increases, the probability of a positive recommendation decreases. This may reflect stricter evaluation criteria or budget constraints over time.
Uncertainty: Decreases slightly the chance of an approval</t>
  </si>
  <si>
    <t>ICER (Incremental Cost Effectiveness Ratio)</t>
  </si>
  <si>
    <t>Negative correlation with higher ICER values, OR &lt; 1 (p = 0.0118)</t>
  </si>
  <si>
    <t>Full HTA Reports</t>
  </si>
  <si>
    <t>A - HTA Body</t>
  </si>
  <si>
    <t>January 2006 to July 2015</t>
  </si>
  <si>
    <t>NCPE Website</t>
  </si>
  <si>
    <t>Recommendations for reimbursement are influenced not just by cost-effectiveness (ICER) but also by the quality of evidence and uncertainty measures.</t>
  </si>
  <si>
    <t>National Centre for Pharmacoeconomics</t>
  </si>
  <si>
    <t>Predictors for reimbursement of oncology drugs in Belgium between 2002 and 2013</t>
  </si>
  <si>
    <t>Kim Pauwels, Isabelle Huys, Katelijne De Nys, Minne Casteels &amp; Steven Simoens. (2015). Predictors for reimbursement of oncology drugs in Belgium between 2002 and 2013. Expert Review of Pharmacoeconomics &amp; Outcomes Research, 15(5), 859-868. https://doi.org/10.1586/14737167.2015.1047347</t>
  </si>
  <si>
    <t>https://doi.org/10.1586/14737167.2015.1047347</t>
  </si>
  <si>
    <t>Belgium</t>
  </si>
  <si>
    <t>$ Treatment_Value
$ Treatment_Supply
$ Treatment_Frequency
$ Treatment_Administration
$ Treatment_Safety
$ Treatments_Alternatives
$ Treatment_Line1
$ Treatment_Line2
$ Treatment_Line3
$ Obs_patients_No
$ RCT_No
$ RCT_Patients_No
$ RCT_Comp
$ RCT_PrimOutcome
$ Interventional_Survival
$ Interventional_QoL
$ Interventional_PFS
$ Budget_impact_NIHDI
$ Budget_impact_Incremental
$ Price_Unit
$ CUA_Value
$ CUA_Present</t>
  </si>
  <si>
    <t xml:space="preserve">Clinical Evidence - Safety
Clinical Evidence - Comparator
Clinical Evidence - level
Clinical Evidence - Number of Patients
Clinical Evidence - Quality
Clinical Evidence - Estimate of Effect
Economic Evidence - Budget Impacct
Economic Evidence - Price
</t>
  </si>
  <si>
    <t>Budget impact
$ RCT primary outcome</t>
  </si>
  <si>
    <t>Positive or negative recommendations</t>
  </si>
  <si>
    <t>2002-2013</t>
  </si>
  <si>
    <t>Oncology drugs</t>
  </si>
  <si>
    <t>Reimbursement dossiers from the Commission of Reimbursement of Medicines (CRM)</t>
  </si>
  <si>
    <t>**This study examined Belgian reimbursement decisions about oncology drugs, taken between 2002 and 2013. Clinical evidence and presence of alternative treatments had a significant effect on the advice by the CRM.**</t>
  </si>
  <si>
    <t>Non-normality required the application of non-parametric tests and reduced the power of the statistics. Sample size was relatively small.</t>
  </si>
  <si>
    <t>Ph.D. grant from the Agency for Innovation by Science and Technology (IWT) and research grant of the Research Foundation Flanders (FWO).</t>
  </si>
  <si>
    <t>No other notes.</t>
  </si>
  <si>
    <t>What Influences Recommendations Issued by the Agency for Health Technology Assessment in Poland? Niewada, M., Polkowska, M., Jakubczyk, M., &amp; Golicki, D. (2013). What influences recommendations issued by the Agency for Health Technology Assessment in Poland? A glimpse into decision makers’ preferences. *Value in Health Regional Issues*, 2(3), 267-272.</t>
  </si>
  <si>
    <t>https://doi.org/10.1016/j.vhri.2013.05.002</t>
  </si>
  <si>
    <t>$ Clinical_Efficacy
$ Impact_on_hard_end_points
$ Safety
$ Cost_effectiveness
$ Budget_impact
$ Clinical_Efficacy
$ Impact_on_hard_end_points
$ Safety
$ Cost_effectiveness
$ Budget_impact
$ Formal_issues</t>
  </si>
  <si>
    <t xml:space="preserve">Clinical Evidence - Estimate of Effect
Clinical Evidence - endpoint
Clinical Evidence - Safety
Economic Evidence - ICER
Economic Evidence - Budget Impact
</t>
  </si>
  <si>
    <t>$ Clinical_Efficacy
$ Impact_on_hard_end_points
$ Safety
$ Cost_effectiveness
$ Budget_impact</t>
  </si>
  <si>
    <t>$ Clinical_Efficacy
$ Impact_on_hard_end_points
$ Safety
$ Cost_effectiveness
$ Budget_impact
$ Formal_issues</t>
  </si>
  <si>
    <t>Recommendation</t>
  </si>
  <si>
    <t>Ministry of Health</t>
  </si>
  <si>
    <t>2005-2013</t>
  </si>
  <si>
    <t>Medical Technologies (Drugs, Devices)</t>
  </si>
  <si>
    <t>AHTAPol website</t>
  </si>
  <si>
    <t>Efficacy and safety contribute most to final recommendations.</t>
  </si>
  <si>
    <t>Recommendations were subjective and did not follow a unified structure, reducing consistency.</t>
  </si>
  <si>
    <t>Research funded by the Medical University of Warsaw, Warsaw School of Economics, and HealthQuest Consulting Company.</t>
  </si>
  <si>
    <t>Recommendations were analyzed only using public reports; HTA reports or critical appraisals were not available.</t>
  </si>
  <si>
    <t>The Influence of Cost-Effectiveness Evaluations on Reimbursement in Australia: A Retrospective Study of Decisions Made by the Pharmaceutical Benefits Advisory Committee</t>
  </si>
  <si>
    <t>Ngo, P. (2014). The Influence of Cost-Effectiveness Evaluations on Reimbursement in Australia: A Retrospective Study of Decisions Made by the Pharmaceutical Benefits Advisory Committee. *Pharm Med*, 28, 187-193. doi:10.1007/s40290-014-0063-5</t>
  </si>
  <si>
    <t>https://doi.org/10.1007/s40290-014-0063-5</t>
  </si>
  <si>
    <t>Australia</t>
  </si>
  <si>
    <t>Oceania</t>
  </si>
  <si>
    <t>ICER</t>
  </si>
  <si>
    <t>Economic Evidence - ICER</t>
  </si>
  <si>
    <t>ICER &lt; $A15,000 per QALY associated with positive recommendations.</t>
  </si>
  <si>
    <t>ICER &gt; $A45,000 per QALY associated with negative recommendations.</t>
  </si>
  <si>
    <t>Reimbursement recommendations</t>
  </si>
  <si>
    <t>2005-2007</t>
  </si>
  <si>
    <t>PBAC reimbursement decisions and ICER values from the Commonwealth Department of Health website.</t>
  </si>
  <si>
    <t>Statistically significant relationship between a pharmaceutical’s incremental cost-effectiveness ratio and the likelihood of attaining a positive recommendation.</t>
  </si>
  <si>
    <t>The study was reliant upon the integrity of information contained within the PSD. Assumptions, values, and economic evaluations included as part of the submission dossier were compiled by the sponsor.</t>
  </si>
  <si>
    <t>No funding sources or conflicts of interests are declared.</t>
  </si>
  <si>
    <t>The study shows consistency in PBAC decisions over the study period.</t>
  </si>
  <si>
    <t>Impact of the ‘‘Linked Evidence Approach’’ Method on Policies to Publicly Fund Diagnostic, Staging, and Screening Medical Tests</t>
  </si>
  <si>
    <t xml:space="preserve">Merlin, T. L., Hiller, J. E., &amp; Ryan, P. (2016). Impact of the ‘‘Linked Evidence Approach’’ Method on Policies to Publicly Fund Diagnostic, Staging, and Screening Medical Tests. MDM Policy &amp; Practice, 1, 1–12. </t>
  </si>
  <si>
    <t>https://doi.org/10.1177/2381468316672465</t>
  </si>
  <si>
    <t xml:space="preserve">
$ Test_purpose
$ Reference_standard
$ Evidence_quality
$ Limited_data_available
$ LEA_methodology
$ No_of_observations
</t>
  </si>
  <si>
    <t>Clinical Evidence - Quality
Clinical Evidence - Number of Studies</t>
  </si>
  <si>
    <t>$ Constant
$ Test_purpose
$ Evidence_quality
$ LEA_methodology</t>
  </si>
  <si>
    <t>$ Reference_standard
$ Limited_data_available</t>
  </si>
  <si>
    <t>83 HTAs</t>
  </si>
  <si>
    <t>Diagnostic, staging, and screening tests</t>
  </si>
  <si>
    <t>1999 - 2014</t>
  </si>
  <si>
    <t>MSAC database</t>
  </si>
  <si>
    <t>LEA methodology tends to reduce decision-maker uncertainty, resulting in fewer interim funding decisions and more definitive public funding recommendations.</t>
  </si>
  <si>
    <t>The study was reliant upon the integrity of information from MSAC public documents, and potential confounding variables were not fully controlled.</t>
  </si>
  <si>
    <t>Is it all about price? Why requests for government subsidy of anticancer drugs were rejected in Australia</t>
  </si>
  <si>
    <t>Karikios, D. J., Chim, L., Martin, A., Nagrial, A., Howard, K., Salkeld, G., &amp; Stockler, M. R. (2017). Is it all about price? Why requests for government subsidy of anticancer drugs were rejected in Australia. *Internal Medicine Journal, 47*(4), 400-407.</t>
  </si>
  <si>
    <t>10.1111/imj.13350</t>
  </si>
  <si>
    <t>$ Submission_characteristic
$ Listing_request
$ Submission_type
$ Treatment_intent
$ Test_required_before_drug_can_be_used
$ Comparator_type
$ Type_of_trial_evidence_submitted
$ Evidence_of_an_overall_survival_benefit
$ Type_of_economic_analysis
$ ICER_cost_per_QALY
$ Estimated_impact_on_PBS_budget_per_year
$ PBAC_judgements_of_sponsor_claims
$ Comparator_claim
$ Efficacy_claim
$ Toxicity_claim
$ PBAC_judged_clinical_evidence_problematic_or_uncertain
$ PBAC_judged_economic_evidence_problematic_or_uncertain
$ PBAC_judged_high_clinical_need</t>
  </si>
  <si>
    <t>Indication
Clinical Evidence - Comparator
Clinical Evidence - Level
Clinical Evidence - Estimate of Effect
Clinical Evidence - Safety
Economic Evidence - ICER
Economic Evidence - Budget Impact</t>
  </si>
  <si>
    <t>$ PBAC_judged_clinical_evidence_problematic_or_uncertain
$ Comparator_type
$ PBAC_judged_economic_evidence_problematic_or_uncertain
$ Estimated_impact_on_the_PBS_budget_per_year
$ Treatment_intent
$ Type_of_economic_analysis
$ ICER</t>
  </si>
  <si>
    <t>Submissions for PBS listing</t>
  </si>
  <si>
    <t>2005-2014</t>
  </si>
  <si>
    <t>Anticancer drugs</t>
  </si>
  <si>
    <t>PBS website</t>
  </si>
  <si>
    <t>Inadequate cost-effectiveness and uncertainty about clinical and economic evidence were the most frequent reasons for rejection.</t>
  </si>
  <si>
    <t>Reliance on publicly available information; Missing data due to commercial confidentiality.</t>
  </si>
  <si>
    <t>D. J. Karikios has been supported by a National Health and Medical Research Council Postgraduate Scholarship and a Sydney Catalyst Top-Up Research Scholar Award. L. Chim is currently employed by Alexion Pharmaceuticals (Australia).</t>
  </si>
  <si>
    <t>No additional notes.</t>
  </si>
  <si>
    <t>Reimbursement of Orphan Drugs in Europe in Relation to the Type of Authorization by the European Medicines Agency and the Decision Making Based on Health Technology Assessment</t>
  </si>
  <si>
    <t>Malinowski, K. P., Kawalec, P., Trabka, W., Sowada, C., &amp; Pilc, A. (2018). Reimbursement of orphan drugs in Europe in relation to the type of authorization by the European Medicines Agency and the decision making based on health technology assessment. *Frontiers in Pharmacology*, 9, 1263.</t>
  </si>
  <si>
    <t>10.3389/fphar.2018.01263</t>
  </si>
  <si>
    <t xml:space="preserve">
 HTA Drivers  
 Comparison of HTA bodies</t>
  </si>
  <si>
    <t>Belgium, Denmark, England, France, Germany, Italy, Poland, Scotland, Spain, Sweden, Netherlands, Wales</t>
  </si>
  <si>
    <t>different reimbursement rate for each country</t>
  </si>
  <si>
    <t>jurisdiction</t>
  </si>
  <si>
    <t>Approval under exceptional circumstances had a negative impact on reimbursement in Germany</t>
  </si>
  <si>
    <t>85% decrease in chances for reimbursement in Germany (OR: 0.15, 95% CI: 0.04–0.53, p = 0.0034)</t>
  </si>
  <si>
    <t>Reimbursement statuses of orphan drugs by country</t>
  </si>
  <si>
    <t>2017-2018</t>
  </si>
  <si>
    <t>Orphan Drugs (Oncologic, Metabolic)</t>
  </si>
  <si>
    <t>National Reimbursement or HTA Agencies Websites (e.g., NICE, AIFA, TLV)</t>
  </si>
  <si>
    <t>Access to reimbursed orphan drugs varies significantly across EU countries. Conditional approval and approval under exceptional circumstances are significant negative predictors of reimbursement in some countries. The type of disease is significantly associated with these approvals.</t>
  </si>
  <si>
    <t>No conflicts of interest disclosed</t>
  </si>
  <si>
    <t>Reimbursement Legislations and Decision Making for Orphan Drugs in Central and Eastern European Countries</t>
  </si>
  <si>
    <t>Malinowski, K. P., Kawalec, P., Tra˛bka, W., Czech, M., Petrova, G., Manova, M., Savova, A., Draganic, P., Vostalová, L., Slabý, J., Männik, A., Márky, K., Rugaja, Z., Gulbinovic, J., Tesar, T., &amp; Paveliu, M. S. (2019). Reimbursement legislations and decision making for orphan drugs in Central and Eastern European countries. Frontiers in Pharmacology, 10, 487. https://doi.org/10.3389/fphar.2019.00487</t>
  </si>
  <si>
    <t>https://doi.org/10.3389/fphar.2019.00487</t>
  </si>
  <si>
    <t>Bulgaria, Croatia, Czechia, Estonia, Hungary, Latvia, Lithuania, Poland, Romania, Slovakia</t>
  </si>
  <si>
    <t>* EMA conditional approval and approval under exceptional circumstances * Type of disease (oncological, metabolic, other)</t>
  </si>
  <si>
    <t>indication - Oncology
Previous HTA Decisions - EMA</t>
  </si>
  <si>
    <t>* Oncological diseases (OR of 5.33; 95% CI: 1.31–21.68) in Croatia * Positive correlation with reimbursement for oncological diseases in Croatia, Estonia, Hungary, and Lithuania</t>
  </si>
  <si>
    <t>* Conditional approval negatively influenced reimbursement in Czechia, Lithuania, and Slovakia (p = 0.0161)</t>
  </si>
  <si>
    <t>95 orphan drugs</t>
  </si>
  <si>
    <t>Drugs for oncological, metabolic, and other rare diseases</t>
  </si>
  <si>
    <t>2017–2018</t>
  </si>
  <si>
    <t>Oncological, metabolic, and other rare diseases</t>
  </si>
  <si>
    <t>EMA database, Questionnaire survey</t>
  </si>
  <si>
    <t>Reimbursement decisions vary significantly across countries. No correlation with GDP per capita. EMA conditional approval significantly decreased reimbursement chances.</t>
  </si>
  <si>
    <t>Some limitations in reimbursement for subgroups due to budgetary constraints. Further studies required to monitor reimbursement trends.</t>
  </si>
  <si>
    <t>No conflicts of interest declared.</t>
  </si>
  <si>
    <t>NA</t>
  </si>
  <si>
    <t>HTA Barriers for Conditional Approval Drugs</t>
  </si>
  <si>
    <t>Mackenzie Mills. (2023). HTA Barriers for Conditional Approval Drugs. PharmacoEconomics, 41, 529–545. https://doi.org/10.1007/s40273-023-01248-9</t>
  </si>
  <si>
    <t>10.1007/s40273-023-01248-9</t>
  </si>
  <si>
    <t>France, England, Scotland, Canada</t>
  </si>
  <si>
    <t>$ Disease_characteristics
$ Pivotal_trial_characteristics
$ Uncertainties
$ Social_value_judgements
$ HTA_outcomes</t>
  </si>
  <si>
    <t>Indication
Clinical Evidence
Social Value Judgement
Previous HTA Decisions</t>
  </si>
  <si>
    <t xml:space="preserve">$ Cancer
$ Orphan
$ Phase_III
$ Clinical
$ Active_comparator
$ Clinical_uncertainties_overcome
$ Economic_uncertainties_not_overcome
$ Disease_severity_Considered
$ Unmet_need_Considered
$ Administration_advantage_Considered
$ Innovation_Considered
$ Quality_of_life_Considered
$ Special_demographics_Considered
$ prior rejection
</t>
  </si>
  <si>
    <t>$ Non-cancer
$ Non-orphan
$ Phase_I/II
$ Surrogate
$ Placebo/no_comparator
$ Clinical_uncertainties_not_overcome
$ Economic_uncertainties_overcome
$ Disease_severity_Not_considered
$ Unmet_need_Not_considered
$ Administration_advantage_Not_considered
$ Innovation_Not_considered
$ Quality_of_life_Not_considered
$ Special_demographics_Not_considered</t>
  </si>
  <si>
    <t>80 drug-indication pairs</t>
  </si>
  <si>
    <t>Reports reviewed across five HTA bodies</t>
  </si>
  <si>
    <t>From 2010 to 2019</t>
  </si>
  <si>
    <t>Medicines with conditional marketing authorisation.</t>
  </si>
  <si>
    <t>NICE, SMC, CADTH, INESSS, HAS</t>
  </si>
  <si>
    <t>Conditionally approved drugs face increased barriers in HTA approval timelines and outcome probabilities relative to standard MA drugs. Delays in approval and higher levels of unresolved uncertainties were observed.</t>
  </si>
  <si>
    <t>Limited to publicly available HTA reports in English and French; sample size of conditionally approved drugs is low.</t>
  </si>
  <si>
    <t>Describes institutional misalignment in evidence requirements between MA and HTA agencies.</t>
  </si>
  <si>
    <t>Algorithms and heuristics of health technology assessments: A retrospective analysis of factors associated with HTA outcomes for new drugs across seven OECD countries</t>
  </si>
  <si>
    <t>Panos Kanavos, Erica Visintin, Arianna Gentilini. (2023). Algorithms and heuristics of health technology assessments: A retrospective analysis of factors associated with HTA outcomes for new drugs across seven OECD countries. Social Science &amp; Medicine, 331, 116045. https://doi.org/10.1016/j.socscimed.2023.116045</t>
  </si>
  <si>
    <t>https://doi.org/10.1016/j.socscimed.2023.116045</t>
  </si>
  <si>
    <t>Australia, Canada, England, France, Germany, Scotland, and Sweden.</t>
  </si>
  <si>
    <t>$ RESUBMIT
$ ONCOLOGY
$ ORPHAN_DESIGNATION
$ ONCOLOGY*ORPHAN
$ HIGH_QoE
$ INNOVATION_RECORDED
$ UNMET_NEED_RECORDED
$ CLINICAL_BENEFIT_RECORDED
$ GENERALIZABILITY_RECORDED
$ INPUT_RECORDED
$ Total_clinical_uncertainties_not_overcome
$ Total_clinical_uncertainties_overcome
$ Total_economic_uncertainties_not_overcome
$ Total_economic_uncertainties_overcome
$ YEAR_TREND
$ CADTH
$ HAS
$ INESSS
$ IQWig
$ PBAC
$ SMC
$ TLV
$ Number_of_Observations
$ country</t>
  </si>
  <si>
    <t xml:space="preserve">Previous HTA Decisions
Indication - Oncology
Indication - Orphan Drugs
jurisdiction
Clinical Evidence  - Number of Patients
Economic Evidence - Uncertainty
Innovation aspect
Clinical Evidence - Estimate of Effect
Clinical Evidence - Uncertainty
Year
Clinical Evidence - Quality
</t>
  </si>
  <si>
    <t>$ RESUBMIT
$ ONCOLOGY
$ ORPHAN_DESIGNATION
$ ONCOLOGY*ORPHAN
$ HIGH_QoE
$ INNOVATION_RECORDED
$ UNMET_NEED_RECORDED
$ CLINICAL_BENEFIT_RECORDED
$ GENERALIZABILITY_RECORDED
$ INPUT_RECORDED
$ Total_clinical_uncertainties_overcome
$ Total_economic_uncertainties_overcome
$ YEAR_TREND
$ CADTH
$ HAS
$ INESSS
$ IQWig
$ PBAC
$ SMC
$ TLV</t>
  </si>
  <si>
    <t>$ ONCOLOGY (where coefficient &lt; 1)
$ Total_clinical_uncertainties_not_overcome
$ Total_economic_uncertainties_not_overcome
$ YEAR_TREND (when coefficient &lt; 1)
$ CADTH (when coefficient &lt; 1)
$ HAS (when coefficient &lt; 1)
$ INESSS (when coefficient &lt; 1)
$ IQWig (when coefficient &lt; 1)
$ PBAC (when coefficient &lt; 1)
$ SMC (when coefficient &lt; 1)
$ TLV (when coefficient &lt; 1)</t>
  </si>
  <si>
    <t>HTA reports on drugs that received marketing authorization between 2009-2018 from publicly available HTA reports</t>
  </si>
  <si>
    <t>Between January 1, 2009, to December 30, 2020</t>
  </si>
  <si>
    <t>Pharmaceutical Technologies</t>
  </si>
  <si>
    <t>The data were extracted from HTA agencies’ websites and included in a proprietary dataset.</t>
  </si>
  <si>
    <t>Most new drugs receive positive (restricted or unrestricted) HTA outcomes, but the presence of clinical and economic restrictions and resubmissions indicate the complexity of HTA-based decision-making.</t>
  </si>
  <si>
    <t>Published HTA reports may not include comprehensive discussions of HTA committees, and the conversion of outcomes from some countries (e.g., France and Germany) may subjectively follow accepted norms.</t>
  </si>
  <si>
    <t>The study is undertaken in the context of the IMPACT-HTA project, funded by the European Commission's Horizon 2020 research program.</t>
  </si>
  <si>
    <t>The study shows that HTA agencies adopt an extra-welfarist approach, considering broader criteria beyond utility maximization, including social value judgments, economic uncertainties, and special pathways for novel therapies.</t>
  </si>
  <si>
    <t>Evidence-based funding of new imaging applications and technologies by Medicare in Australia: How it happens and how it can be improved</t>
  </si>
  <si>
    <t>Hill, H., Mittal, R., &amp; Merlin, T. (2022). Evidence-based funding of new imaging applications and technologies by Medicare in Australia: How it happens and how it can be improved. Journal of Medical Imaging and Radiation Oncology, 66(3), 215-224. https://doi.org/10.1111/1754-9485.13386</t>
  </si>
  <si>
    <t>https://doi.org/10.1111/1754-9485.13386</t>
  </si>
  <si>
    <t>Evidence Quality:
    Poor Quality Evidence
    Limited Evidence
    Applicability Issues
    Heterogeneity in Findings
Cost-Effectiveness Results:
    Uncertain/Unknown or Imaging Test Dominated
    Uncertain
Net Annual Financial Impact:
    Cost Savings vs. Higher Costs (&gt;$5 million or unknown)</t>
  </si>
  <si>
    <t>Cost-Effectiveness (Dominant/Cost-Saving):
    Impact of Drivers:
        Robust OR = 0.445 (95% CI: 0.312–0.635, p &lt; 0.0001)
        Strongly associated with positive funding decisions.
    Source: Regression Table, Model 1
Net Annual Financial Impact (Cost Savings):
    Impact of Drivers:
        Robust OR = 10.938 (95% CI: 1.525–78.461, p = 0.006)
        Strong association with positive outcomes in funding decisions.
    Source: Regression Table, Model 3</t>
  </si>
  <si>
    <t>Uncertain Cost-Effectiveness Results (Dominated or Uncertain):
    Impact of Drivers:
        Uncertain/Dominated: Robust OR = 0.022 (95% CI: 0.004–0.121, p &lt; 0.0001)
        Significantly reduced the likelihood of positive funding decisions.
    Source: Regression Table, Models 2 and 4
Poor Quality Evidence:
    Impact of Drivers:
        Not statistically significant (Robust OR = 0.755, 95% CI: 0.135–4.237, p &gt; 0.05)
        Still negatively associated with funding outcomes.
    Source: Regression Table, Model 1
Net Annual Financial Impact (&gt;$5 million or Unknown):
    Impact of Drivers:
        Robust OR = 0.043 (95% CI: 0.006–0.326, p = 0.002)
        Strong negative association with funding decisions.
    Source: Regression Table, Model 3</t>
  </si>
  <si>
    <t>42 imaging test applications covering 91 clinical indications.</t>
  </si>
  <si>
    <t>Pre-recommendation evaluations conducted for funding decisions.</t>
  </si>
  <si>
    <t>Reports evaluated by Adelaide Health Technology Assessment (AHTA) for MSAC.</t>
  </si>
  <si>
    <t>2006 to July 2021.</t>
  </si>
  <si>
    <t>Diagnostic, staging, and screening imaging tests.</t>
  </si>
  <si>
    <t>Publicly available data on the MSAC website.</t>
  </si>
  <si>
    <t xml:space="preserve">The most significant predictor of negative funding decisions was uncertainty about cost-effectiveness, often driven by uncertain clinical utility. Demonstrating clear clinical utility and cost-effectiveness significantly increases the likelihood of funding.
</t>
  </si>
  <si>
    <t>Analyses were limited to publicly available data, which may not fully capture all evidentiary factors considered by MSAC.
Results are specific to imaging technologies evaluated in Australia and may not generalize to other countries or contexts.</t>
  </si>
  <si>
    <t>Association of exogenous factors with the access to innovative pharmaceutical products in Hungary</t>
  </si>
  <si>
    <t>Mere´sz, G., &amp; Gaa´l, P. (2023). Association of exogenous factors with the access to innovative pharmaceutical products in Hungary. PLoS ONE, 18(2), e0281280. https://doi.org/10.1371/journal.pone.0281280</t>
  </si>
  <si>
    <t>https://doi.org/10.1371/journal.pone.0281280</t>
  </si>
  <si>
    <t>Hungary</t>
  </si>
  <si>
    <t>$ Legal_act_needed_for_positive_decision
$ RSA_at_time_of_submission
$ Introducing_new_compound_or_combination
$ Average_biennial_expenditure_exceeds_200_million_HUFs</t>
  </si>
  <si>
    <t xml:space="preserve">Legislation
Economic Evidence - Budget Impact
Risk Sharing Agreement
Innovation aspect
</t>
  </si>
  <si>
    <t>$ RSA_at_time_of_submission
$ Introducing_new_compound_or_combination
$ Average_biennial_expenditure_exceeds_200_million_HUFs</t>
  </si>
  <si>
    <t>$ Legal_act_needed_for_positive_decision</t>
  </si>
  <si>
    <t>232 reimbursement submissions</t>
  </si>
  <si>
    <t>Reimbursement submissions (full procedure)</t>
  </si>
  <si>
    <t>2018-2021</t>
  </si>
  <si>
    <t>Innovative pharmaceutical products</t>
  </si>
  <si>
    <t>Hungarian National Health Insurance Fund (NHIFM), National Institute of Pharmacy and Nutrition (NIPN)</t>
  </si>
  <si>
    <t>Legal and financial environment significantly impact reimbursement outcomes. Having an RSA increased likelihood of approval, while legal acts lowered it.</t>
  </si>
  <si>
    <t>The study did not consider decision-making timeframes, and data on RSAs were limited.</t>
  </si>
  <si>
    <t>No specific funding reported. No conflicts of interest reported.</t>
  </si>
  <si>
    <t>Data may not be fully representative due to limitations in transparency of RSAs and legislative requirements.</t>
  </si>
  <si>
    <t>Correlation between clinical trial endpoints of marketed cancer drugs and reimbursement decisions in China</t>
  </si>
  <si>
    <t>Ling, K., Qin, H., Feng, Y., Che, H., Ding, J., &amp; Li, W. (2022). Correlation between clinical trial endpoints of marketed cancer drugs and reimbursement decisions in China. *Frontiers in Public Health*, 10, 1062736. https://doi.org/10.3389/fpubh.2022.1062736</t>
  </si>
  <si>
    <t>10.3389/fpubh.2022.1062736</t>
  </si>
  <si>
    <t>China</t>
  </si>
  <si>
    <t>Asia</t>
  </si>
  <si>
    <t xml:space="preserve"> Classical statistics (t-test, Chi-Square)</t>
  </si>
  <si>
    <t>$ Primary_endpoint
$ Phases
$ Blinded_experiment
$ Control_group
$ Randomization
$ HRos_data_availability
$ Risk_benefit_in_OS
$ Magnitude_of_risk_benefit_in_OS
$ HRps_data_availability
$ Risk_benefit_in_PFS
$ Magnitude_of_risk_benefit_in_PFS
$ Magnitude_of_survival_benefit</t>
  </si>
  <si>
    <t>Clinical Evidence - Primary Endpoint
Clinical Evidence - Quality
Clinical Evidence - Level
Clinical Evidence - Estimate of Effect</t>
  </si>
  <si>
    <t>$ Only_PFS (Primary_endpoint)
$ Phase_II
$ Risk_benefit_in_OS_Yes</t>
  </si>
  <si>
    <t>$ Only_OS (Primary_endpoint)
$ Only_ORR (Primary_endpoint)
$ Other (Primary_endpoint)
$ Phase_I
$ Risk_benefit_in_OS_No</t>
  </si>
  <si>
    <t xml:space="preserve">C - Other </t>
  </si>
  <si>
    <t>up to 2021</t>
  </si>
  <si>
    <t>Cancer drugs (solid tumors and hematologic malignancies)</t>
  </si>
  <si>
    <t>Center for Drug Evaluation (CDE) website, National Healthcare Security Administration (NHSA) website, List of Drugs Passing the Preliminary Formal Review for Reimbursement Application</t>
  </si>
  <si>
    <t>Policymakers in China have focused on meeting clinical needs and filling therapeutic gaps in the NRDL from 2017 to 2021. Requirements for clinical endpoints, trial phases, and benefits have been relaxed.</t>
  </si>
  <si>
    <t>Small sample size due to only including drugs with publicly available technical reports; nearly 60% of OS benefit data missing, affecting results.</t>
  </si>
  <si>
    <t>Supported by Double First-class discipline innovation team construction project of China Pharmaceutical University and Quality social science application research project of Jiangsu Province. No conflicts of interest declared.</t>
  </si>
  <si>
    <t>Factors associated with Pharmaceutical Benefits Advisory Committee decisions for listing medicines for diabetes and its associated complications</t>
  </si>
  <si>
    <t>Haque, M. M., Gumbie, M., Gu, M., &amp; Dissanayake, G. (2023). Factors associated with Pharmaceutical Benefits Advisory Committee decisions for listing medicines for diabetes and its associated complications. Australian Health Review, 47(2), 139–147. https://doi.org/10.1071/AH22198</t>
  </si>
  <si>
    <t>https://doi.org/10.1071/AH22198</t>
  </si>
  <si>
    <t>Strong clinical and economic evidence, use of cost-minimization approaches, low uncertainty, presence of RCTs, and well-justified safety/efficacy claims, High uncertainty (clinical and economic), high ICER, large budget impact, weak evidence (e.g., surrogate endpoints, non-randomized trials), and inappropriate comparators.</t>
  </si>
  <si>
    <t>Clinical evidence, economic evidence, disease characteristics, comparator, submission type, year of submission, election years</t>
  </si>
  <si>
    <t>Strong clinical and economic evidence, use of cost-minimization approaches, low uncertainty, presence of RCTs, and well-justified safety/efficacy claims.</t>
  </si>
  <si>
    <t>High uncertainty (clinical and economic), high ICER, large budget impact, weak evidence (e.g., surrogate endpoints, non-randomized trials), and inappropriate comparators.</t>
  </si>
  <si>
    <t>Public Summary Documents (PSD) of PBAC submissions</t>
  </si>
  <si>
    <t>A - PBAC (HTA Body)</t>
  </si>
  <si>
    <t>July 2005 - March 2020</t>
  </si>
  <si>
    <t>Medicines for diabetes and its complications, including CVD, obesity, CKD, and eye diseases</t>
  </si>
  <si>
    <t>Clinical and economic uncertainty were significantly and inversely associated with PBAC recommendation; submissions with high uncertainty were less likely to be recommended. Cost-minimization analysis had the highest recommendation rate (76%).</t>
  </si>
  <si>
    <t>Over-reliance on PSD as primary data source; lack of access to discussions on pricing and risk-sharing arrangements; inability to assess impact of changes in PBAC guidelines over time.</t>
  </si>
  <si>
    <t>No specific funding; all authors declare no conflicts of interest.</t>
  </si>
  <si>
    <t>The study validates its results with supplementary analyses and suggests further cross-country comparisons with other HTA agencies.</t>
  </si>
  <si>
    <t>Exploring the COVID-19 Pandemic’s Impact on the Health Technology Assessment Process of the National Commission for the Incorporation of Technologies Into the Brazilian Health System</t>
  </si>
  <si>
    <t>Cardoso, M.M.A., Thabane, L., Andrade, L.G.M., Curado, D.S.P., Komoda, D.S., Machado-Rugolo, J., Lima, S.A.M., &amp; Weber, S.A.T. (2023). Exploring the COVID-19 pandemic’s impact on the health technology assessment process of the National Commission for the Incorporation of Technologies Into the Brazilian Health System. Value Health Reg Issues, 37, 18-22. https://doi.org/10.1016/j.vhri.2023.04.002</t>
  </si>
  <si>
    <t>https://doi.org/10.1016/j.vhri.2023.04.002</t>
  </si>
  <si>
    <t>No significant impact of the COVID-19 pandemic on HTA approval decisions by CONITEC</t>
  </si>
  <si>
    <t>Crises - COVID19</t>
  </si>
  <si>
    <t>Not applicable</t>
  </si>
  <si>
    <t>Drug incorporation reports</t>
  </si>
  <si>
    <t>Drugs and medical technologies</t>
  </si>
  <si>
    <t>Official reports from CONITEC's website</t>
  </si>
  <si>
    <t>No significant association between pandemic and HTA approval decisions (P = .192)</t>
  </si>
  <si>
    <t>Study only included descriptive statistics and logistic regression models to explore possible impacts; no qualitative data analyzed</t>
  </si>
  <si>
    <t>Not available</t>
  </si>
  <si>
    <t>HTA74 Could Artificial Intelligence Support Prediction of ReimbursementDecisions in Scotland? A Pilot Project</t>
  </si>
  <si>
    <t>Wang, Y., Toumi, M., François, C., Millier, A., Clay, E., Hasni, M., &amp; Dussart, C. (2022). HTA74 Could Artificial Intelligence Support Prediction of Reimbursement Decisions in Scotland? A Pilot Project. Value in Health, 25(7), S517.</t>
  </si>
  <si>
    <t>https://doi.org/10.1016/j.jval.2022.04.1206</t>
  </si>
  <si>
    <t xml:space="preserve"> Prediction Model for HTA Decision</t>
  </si>
  <si>
    <t>Scotland</t>
  </si>
  <si>
    <t xml:space="preserve"> Advanced Machine Learning</t>
  </si>
  <si>
    <t>Reimbursement decisions (accepted, accepted for restricted use, not recommended)</t>
  </si>
  <si>
    <t>Clinical and economic factors influencing HTA reimbursement</t>
  </si>
  <si>
    <t>Indication restriction by manufacturer, validation of primary outcome, acceptance of comparator</t>
  </si>
  <si>
    <t>Uncertainty of economic evidence</t>
  </si>
  <si>
    <t>Appraisals for innovative medicines</t>
  </si>
  <si>
    <t>A - HTA BODY (Scottish Medicines Consortium - SMC)</t>
  </si>
  <si>
    <t>2016 - 2020</t>
  </si>
  <si>
    <t>Innovative medicines (new active substances or combinations)</t>
  </si>
  <si>
    <t>SMC public appraisal data</t>
  </si>
  <si>
    <t>AI-based models, particularly decision trees, can predict HTA reimbursement decisions with high accuracy (F1-score: 0.96). Key drivers of reimbursement decisions were identified.</t>
  </si>
  <si>
    <t>The study is limited by the dataset scope and requires further validation across different HTA bodies.</t>
  </si>
  <si>
    <t>Further research needed to refine models and validate findings for other HTA agencies.</t>
  </si>
  <si>
    <t>Coverage and Pricing Recommendations of the French National Health Authority for Innovative Drugs: A Retrospective Analysis From 2014 to 2020</t>
  </si>
  <si>
    <t>Kergall, P., Autin, E., Guillon, M., &amp; Clément, V. (2021). Coverage and Pricing Recommendations of the French National Health Authority for Innovative Drugs: A Retrospective Analysis From 2014 to 2020. *Value in Health, 24*(12), 1784-1791.</t>
  </si>
  <si>
    <t>https://doi.org/10.1016/j.jval.2021.06.013</t>
  </si>
  <si>
    <t>France</t>
  </si>
  <si>
    <t>$ Alternatives
$ Pediatric
$ Target_population
$ Claimed_ASMR
$ Severity
$ Constant</t>
  </si>
  <si>
    <t>Indication - Pediatric
Indication - Severity</t>
  </si>
  <si>
    <t>$ Claimed_ASMR_Important
$ Severity_Life_threatening
$ Constant</t>
  </si>
  <si>
    <t>$ Alternatives_Yes
$ Pediatric_Yes
$ Target_population (in thousands)</t>
  </si>
  <si>
    <t>No significant association was noted between incorporated decisions and the arrival of the COVID-19 pandemic for all technologies (odds ratio 1.43; 95% CI 0.84-2.46; P = .192) and for drugs (odds ratio 1.43; 95% confidence interval 0.81-2.53; P = .223) while adjusting for the type of technology and demandant.</t>
  </si>
  <si>
    <t>278 HTA Reports</t>
  </si>
  <si>
    <t>Innovative Drugs</t>
  </si>
  <si>
    <t>2014 to 2020</t>
  </si>
  <si>
    <t>Innovative drugs with claimed ASMR from “moderate” to “major.”</t>
  </si>
  <si>
    <t>HAS (French National Health Authority) "Regression analyses indicate that 2 of the 5 official criteria, the efficacy-adverse events balance of the drug and its function, are significantly associated with the SMR rating. The ASMR is positively associated with the disease severity, the quality-adjusted life-year (QALY) gain provided by the drug, and the validation of the ICUR in the Economic Opinion."</t>
  </si>
  <si>
    <t>Some limitations of the study should be acknowledged. First, the interpretation of the results and the insights they provide on the French HTA procedure are conditioned by the sample used, which only includes drugs with claimed ASMR from “major” to “moderate” for which economic evaluation is mandatory.</t>
  </si>
  <si>
    <t>The study was supported by the French government under the Programme d’Investissement d’Avenir, Initiative Sciences Innovation Territoires – MUSE.</t>
  </si>
  <si>
    <t xml:space="preserve">-  </t>
  </si>
  <si>
    <t>Which Factors Enhance Positive Drug Reimbursement Recommendation in Scotland? A Retrospective Analysis 2006–2013.</t>
  </si>
  <si>
    <t>Charokopou, M., Majer, I. M., de Raad, J., Broekhuizen, S., Postma, M., &amp; Heeg, B. (2015). Which factors enhance positive drug reimbursement recommendation in Scotland? A retrospective analysis 2006–2013. *Value in Health*, 18(3), 284–291.</t>
  </si>
  <si>
    <t>https://doi.org/10.1016/j.jval.2014.12.008</t>
  </si>
  <si>
    <t>Clinical evidence
Type of compound
Control arm in clinical trial
Clinical trial’s primary end point
Efficacy profile
Safety profile
Indication-related evidence
Therapy type
Treatment line
Chronic use
Competition
Disease characteristics
Orphan indication</t>
  </si>
  <si>
    <t>Clinical Evidence - Comparator
Clinical Evidence - Estimate of Effect
Clinical Evidence - Safety
Indication
Indication - Orphan Drugs</t>
  </si>
  <si>
    <t>Positive Drivers
Active comparator vs. placebo arm
Odds ratio: 2.08 (1.41–3.07)
Probability of recommendation: 67.53%
P value: 0.000*
Nonsuperior efficacy vs. active comparator (compared to uncontrolled trial)
Odds ratio: 3.05 (1.29–7.19)
Probability of recommendation: 75.31%
P value: 0.011*
Superior safety vs. nonsuperior safety
Odds ratio: 2.05 (0.88–4.79)
Probability of recommendation: 67.21%
P value: 0.096
Orphan indication
Odds ratio: 2.15 (1.25–3.70)
Probability of recommendation: 68.25%
P value: 0.006*
ATC B (blood and blood-forming organs) vs. other ATC codes
Odds ratio: 4.37 (1.66–11.54)
Probability of recommendation: 81.38%
P value: 0.003*
ATC J (anti-infectives for systemic use) vs. other ATC codes
Odds ratio: 4.82 (1.99–11.69)
Probability of recommendation: 82.82%
P value: 0.001*
Cost-minimization analysis performed
Odds ratio: 8.29 (3.91–17.58)
Probability of recommendation: 89.24%
P value: 0.000*
Cost savings and QALY gain
Odds ratio: 6.44 (2.19–18.86)
Probability of recommendation: 86.56%
P value: 0.001*
ICER below £30,000/QALY (both base case and sensitivity analysis)
Odds ratio: 2.96 (1.64–5.36)
Probability of recommendation: 74.75%
P value: 0.000*
Big company vs. small company
Odds ratio: 2.04 (1.36–3.05)
Probability of recommendation: 67.11%
P value: 0.001*</t>
  </si>
  <si>
    <t>Nonsuperior efficacy vs. placebo
Odds ratio: 0.50 (0.08–3.05)
Probability of recommendation: 33.33%
P value: 0.452
Inferior safety profile
Odds ratio: 0.96 (0.64–1.44)
Probability of recommendation: 48.98%
P value: 0.850
Competition with no available treatment vs. two or more treatments
Odds ratio: 0.60 (0.37–1.05)
Probability of recommendation: 37.50%
P value: 0.076
ATC C (cardiovascular system) vs. other ATC codes
Odds ratio: 0.41 (0.17–0.99)
Probability of recommendation: 29.08%
P value: 0.049*
ATC L (antineoplastic and immunomodulating agents) vs. other ATC codes
Odds ratio: 0.63 (0.42–0.94)
Probability of recommendation: 38.65%
P value: 0.022*
ATC N (nervous system) vs. other ATC codes
Odds ratio: 0.57 (0.34–0.95)
Probability of recommendation: 36.31%
P value: 0.033*
ICER above £30,000/QALY (both base case and sensitivity analysis)
Odds ratio: 0.57 (0.31–1.09)
Probability of recommendation: 36.31%
P value: 0.096</t>
  </si>
  <si>
    <t>(A) HTA Body</t>
  </si>
  <si>
    <t>2006-2013</t>
  </si>
  <si>
    <t>SMC Database</t>
  </si>
  <si>
    <t>Clinical and economic evidence strongly influence SMC decisions. Cost-minimization analysis and QALY gain significantly increase likelihood of acceptance.</t>
  </si>
  <si>
    <t>Excludes certain submissions and lacks details on policy changes and decision-making processes.</t>
  </si>
  <si>
    <t>None specified</t>
  </si>
  <si>
    <t>```</t>
  </si>
  <si>
    <t>Differences in Health Technology Assessment Recommendations Among
European Jurisdictions: The Role of Practice Variations</t>
  </si>
  <si>
    <t>Vreman, R. A., Mantel-Teeuwisse, A. K., Hövels, A. M., Leufkens, H. G., &amp; Goettsch, W. G. (2020). Differences in health technology assessment recommendations among European jurisdictions: The role of practice variations. Value in Health, 23(1), 10–16.</t>
  </si>
  <si>
    <t>https://doi.org/10.1016/j.jval.2019.07.017</t>
  </si>
  <si>
    <t>England, France, Germany, Netherlands, Scotland</t>
  </si>
  <si>
    <t>countries</t>
  </si>
  <si>
    <t>92 HTA recommendations</t>
  </si>
  <si>
    <t>HTA recommendations for conditionally approved drugs</t>
  </si>
  <si>
    <t>2006–2017</t>
  </si>
  <si>
    <t>Conditionally approved drugs</t>
  </si>
  <si>
    <t>HTA body websites (e.g., NICE, HAS, IQWIG)</t>
  </si>
  <si>
    <t>Practice variations, such as inclusion of CEAs, significantly alter HTA recommendations</t>
  </si>
  <si>
    <t>Sample size and inclusion of only European jurisdictions may limit generalizability</t>
  </si>
  <si>
    <t>No funding was received for this study</t>
  </si>
  <si>
    <t>Using Artificial Intelligence and Machine Learning to Inform Evidence Development for Optimising HTA Outcomes in Europe</t>
  </si>
  <si>
    <t>Shankar, R., Fonseca Santos, F., Strübing, A., Martin, L., Exenberger, A., Halmos, T., Capretto, L., Feng, G., &amp; Rosenlund, M. (2022). Using artificial intelligence and machine learning to inform evidence development for optimising HTA outcomes in Europe. *Value in Health*, 25(1), S174. https://doi.org/10.1016/j.jval.2021.11.847</t>
  </si>
  <si>
    <t>https://doi.org/10.1016/j.jval.2021.11.847</t>
  </si>
  <si>
    <t>France, Germany, Italy, Spain</t>
  </si>
  <si>
    <t>$ evidence
$ indication</t>
  </si>
  <si>
    <t>Clinical Evidence
Indication</t>
  </si>
  <si>
    <t>Association Between the Use of Surrogate Measures in Pivotal Trials and Health Technology Assessment Decisions</t>
  </si>
  <si>
    <t>Pinto, A., Naci, H., Neez, E., &amp; Mossialos, E. (2020). Association between the use of surrogate measures in pivotal trials and health technology assessment decisions: A retrospective analysis of NICE and CADTH reviews of cancer drugs. *Value in Health*, 23(3), 319-327. https://doi.org/10.1016/j.jval.2019.10.010</t>
  </si>
  <si>
    <t>https://doi.org/10.1016/j.jval.2019.10.010</t>
  </si>
  <si>
    <t>England, Canada</t>
  </si>
  <si>
    <t>Europe, America</t>
  </si>
  <si>
    <t>“The association between benefit (surrogate vs OS) and recommending a drug was examined using descriptive statistics and linear probability models controlling for unmet need, orphan designation, and cost-effectiveness.”</t>
  </si>
  <si>
    <t>$ Overall_survival
$ Unmet_need
$ Orphan_designation
$ Cost-effectiveness</t>
  </si>
  <si>
    <t>$ Unmet_need (NICE)
$ Orphan_designation (NICE)
$ Cost-effectiveness (NICE)</t>
  </si>
  <si>
    <t>$ Overall_survival (NICE)
$ Overall_survival (CADTH)
$ Unmet_need (CADTH)
$ Orphan_designation (CADTH)</t>
  </si>
  <si>
    <t>P = .04</t>
  </si>
  <si>
    <t>HTA Recommendations Reports</t>
  </si>
  <si>
    <t>2012-2016</t>
  </si>
  <si>
    <t>Cancer Drugs</t>
  </si>
  <si>
    <t>NICE and CADTH Websites</t>
  </si>
  <si>
    <t>“When cost-effectiveness was considered, pivotal trial endpoints were not associated with NICE recommendations. Pivotal trial endpoints, unmet need, orphan status, and cost-effectiveness did not explain CADTH recommendations.”</t>
  </si>
  <si>
    <t>None stated</t>
  </si>
  <si>
    <t>Cost-Effectiveness Impacts Cancer Care Funding Decisions in British Columbia, Canada, Evidence from 1998 to 2008</t>
  </si>
  <si>
    <t>Ismail, Z., Peacock, S. J., Kovacic, L., &amp; Hoch, J. S. (2017). Cost-effectiveness impacts cancer care funding decisions in British Columbia, Canada, evidence from 1998 to 2008. *International Journal of Technology Assessment in Health Care, 33*(4), 481-486. https://doi.org/10.1017/S0266462317000642</t>
  </si>
  <si>
    <t>https://doi.org/10.1017/S0266462317000642</t>
  </si>
  <si>
    <t>Canada</t>
  </si>
  <si>
    <t>We assessed the association between cost-effectiveness of cancer drugs considered from 1998 to 2008 and the subsequent funding decisions.</t>
  </si>
  <si>
    <t>In the proposals that used life-years gained as the outcome (n = 22), a statistically significant difference of nearly $115,000 was observed between the mean ICERs for funded proposals ($42,006) and for unfunded proposals ($156,967).</t>
  </si>
  <si>
    <t>The results indicate that a drug with an ICER $25,000 greater has odds 0.613 times lower of funding.</t>
  </si>
  <si>
    <t>1998-2008</t>
  </si>
  <si>
    <t>British Columbia Cancer Agency, Priorities and Evaluation Committee (PEC)</t>
  </si>
  <si>
    <t>Economic evidence appears to play a role in British Columbia cancer funding decisions from 1998 to 2008; other decision-making criteria may also have an important role in recommendations and subsequent funding decisions.</t>
  </si>
  <si>
    <t>The majority of ICERs retrieved from the PEC proposals were calculated from the perspective of the drug budget... However, ICERs are most commonly calculated from the perspective of the health system or society, so that the ICER includes all relevant costs.</t>
  </si>
  <si>
    <t>No funding was received.</t>
  </si>
  <si>
    <t>Evaluation on the first 2 years of the positive list system in South Korea</t>
  </si>
  <si>
    <t>Park, S. E., Lim, S. H., Choi, H. W., Lee, S. M., Kim, D. W., Yim, E. Y., Kim, K. H., &amp; Yi, S. Y. (2012). Evaluation on the first 2 years of the positive list system in South Korea. Health Policy, 104(1), 32–39.</t>
  </si>
  <si>
    <t>DOI:10.1016/j.healthpol.2011.09.006</t>
  </si>
  <si>
    <t>Clinical benefit, Number of head-to-head trials, Therapeutic superiority to the comparator, Cost-effectiveness, Costs equal or less to the comparator, Budget impact, Expected budget cost change, Listing status in other countries, Number of recommended decisions made by other committees</t>
  </si>
  <si>
    <t>Clinical benefit: Therapeutic superiority to the comparator, Number of head-to-head trials
Cost-effectiveness: Costs equal or less to the comparator
Budget impact: Expected budget cost change
Listing status in other countries: Number of recommended decisions made by other committees</t>
  </si>
  <si>
    <t>Number of head to head trials, Therapeutic superiority, costs equal or less to the comparator, Number of recommended decisions made by other committees</t>
  </si>
  <si>
    <t>Expected budget cost change. (millions USD)</t>
  </si>
  <si>
    <t>Reimbursement reports
Cost-effectiveness assessments
Listing status reviews
Clinical benefit assessments
Budget impact analyses</t>
  </si>
  <si>
    <t>2006-2008</t>
  </si>
  <si>
    <t xml:space="preserve">Pharmaceuticals. </t>
  </si>
  <si>
    <t>HIRA Database.</t>
  </si>
  <si>
    <t>The South Korean PLS has stabilized during the 2 years after its introduction. Among the various decision criteria, clinical benefit and cost-effectiveness were the main drivers of reimbursement decisions.</t>
  </si>
  <si>
    <t>This study is based on South Korea-specific data, which might limit generalizability.</t>
  </si>
  <si>
    <t>No conflicts of interest were declared</t>
  </si>
  <si>
    <t>his study evaluates the initial operational phase of South Korea’s HTA system.</t>
  </si>
  <si>
    <t xml:space="preserve">Drug reimbursement recommendations by the National Institute for Health and Clinical Excellence: Have they impacted the National Health Service budget? </t>
  </si>
  <si>
    <t>Mauskopf, J., Chirila, C., Birt, J., Boye, K. S., &amp; Bowman, L. (2013). Drug reimbursement recommendations by the National Institute for Health and Clinical Excellence: Have they impacted the National Health Service budget? Health Policy, 110(1), 49-59. https://doi.org/10.1016/j.healthpol.2013.01.017</t>
  </si>
  <si>
    <t>https://doi.org/10.1016/j.healthpol.2013.01.017</t>
  </si>
  <si>
    <t xml:space="preserve">Comparative clinical evidence (meta-analysis included), NICE assessment of clinical evidence (agreed), NICE assessment of manufacturer’s model (acceptable), End-of-life criteria (considered and accepted),PBI for UK marketing-approved population (£, millions), Cost per QALY (£, thousands), Oncology (Yes) </t>
  </si>
  <si>
    <t>Clinical Evidence Drivers, Cost-effectiveness Drivers, End-of-life Drivers, Budget Drivers, Oncology Drivers</t>
  </si>
  <si>
    <t xml:space="preserve">Standard of care or active, Meta analysis included. , end of life criteria considered an accepted, Nice assessment of clinical evidence are great. , nice assessment of manufacturers model acceptable </t>
  </si>
  <si>
    <t>PBI For uk marketing approved. Population. Pounds  in millions, Cost per QALY pounds in thousands, Oncology Yes</t>
  </si>
  <si>
    <t>HTA reports</t>
  </si>
  <si>
    <t>HTA Body</t>
  </si>
  <si>
    <t>March 2011</t>
  </si>
  <si>
    <t>Pharmaceuticals / New drug indications</t>
  </si>
  <si>
    <t>NICE webssite</t>
  </si>
  <si>
    <t>"The degree of reimbursement restriction recommended by NICE remains significantly correlated with the PBI, despite that fact that the NICE decision process does not consider budget impact."</t>
  </si>
  <si>
    <t>Budget impact estimates rely on UK marketing-approved population estimates and may not reflect real-world usage.</t>
  </si>
  <si>
    <t>Funded by RTI Health Solutions and Eli Lilly and Company.</t>
  </si>
  <si>
    <t>This correlation might be due to NICE consideration of effectiveness and cost-effectiveness for subgroups of the approved population."
This provides additional insight into NICE's methodology.</t>
  </si>
  <si>
    <t>Are cancer drugs less likely to be recommended for listing by the Pharmaceutical Benefits Advisory Committee in Australia?</t>
  </si>
  <si>
    <t>Chim, L., Kelly, P. J., Salkeld, G., &amp; Stockler, M. R. (2010). Are cancer drugs less likely to be recommended for listing by the Pharmaceutical Benefits Advisory Committee in Australia? Pharmacoeconomics, 28(6), 463-475.</t>
  </si>
  <si>
    <t>Drug type, Application type, Estimated cost to the PBS per year, Economic modelling, Cost per QALY, Cost-effectiveness analysis (CEA), Cost-utility analysis (CUA), Cost-minimization analysis (CMA), Incremental cost-effectiveness ratio (ICER)</t>
  </si>
  <si>
    <t>Clinical benefits, cost-effectiveness, type of drug</t>
  </si>
  <si>
    <t>New indication/other (reference category for Application type), Estimated cost &lt;$A10 million per year, CMA or no economic modelling (reference category for Economic modelling)</t>
  </si>
  <si>
    <t>Estimated cost ‡$A10 million per year, CUA: cost per QALY &gt;$A45 000, CUA: cost per QALY £$A45 000, No ICER for CMA or CEA submissions</t>
  </si>
  <si>
    <t>2005 - 2008</t>
  </si>
  <si>
    <t>PBAC Public Summary Documents</t>
  </si>
  <si>
    <t>Non-cancer drugs were more likely to be recommended for PBS listing than cancer drugs. Cost-effectiveness remained a significant hurdle for cancer drugs.</t>
  </si>
  <si>
    <t>Limited timeframe of analysis and reliance on publicly available PBAC documents.</t>
  </si>
  <si>
    <t>Conflict of interest noted: AstraZeneca affiliation of co-author.</t>
  </si>
  <si>
    <t>Medicare is scrutinizing evidence more tightly for national coverage determinations.</t>
  </si>
  <si>
    <t>Chambers, J. D., Chenoweth, M., Cangelosi, M. J., Pyo, J., Cohen, J. T., &amp; Neumann, P. J. (2015). Medicare is scrutinizing evidence more tightly for national coverage determinations. Health Affairs, 34(2), 253–260.</t>
  </si>
  <si>
    <t>https://doi.org/10.1377/hlthaff.2014.1123</t>
  </si>
  <si>
    <t>USA</t>
  </si>
  <si>
    <t>Time of coverage decision, Consistency of randomized controlled trials, Consistency of other clinical trials, Consistency of clinical guidelines</t>
  </si>
  <si>
    <t>Time of coverage decision; Evidence Consistency</t>
  </si>
  <si>
    <t xml:space="preserve">Consistency of randomized controlled trials; Favorable guidelines, Consistency of clinical reviews. , Quantity of available data. </t>
  </si>
  <si>
    <t>No clinical guidelines</t>
  </si>
  <si>
    <t>1999–2012</t>
  </si>
  <si>
    <t>Medical Devices, Surgeries</t>
  </si>
  <si>
    <t>Tufts Medical Center NCD Database</t>
  </si>
  <si>
    <t>The evidentiary bar for Medicare coverage has risen. More recent coverage determinations were twenty times less likely to be positive than earlier ones.</t>
  </si>
  <si>
    <t>Evidence limitations, decision heterogeneity, political factors</t>
  </si>
  <si>
    <t>AdvaMed: Advanced Medical Technology Association</t>
  </si>
  <si>
    <t>Policy implications for access to innovation and use of restrictive NCDs by CMS</t>
  </si>
  <si>
    <t>he role of value for money in public insurance coverage decisions for drugs in Australia: A retrospective analysis 1994–2004.</t>
  </si>
  <si>
    <t>Harris, A. H., Hill, S. R., Chin, G., Li, J. J., &amp; Walkom, E. (2008). The role of value for money in public insurance coverage decisions for drugs in Australia: A retrospective analysis 1994–2004. *Medical Decision Making, 28*(5), 713–722. https://doi.org/10.1177/0272989X08315247</t>
  </si>
  <si>
    <t>https://doi.org/10.1177/0272989X08315247</t>
  </si>
  <si>
    <t xml:space="preserve">Incremental cost Per QALY (0,000$), Budget impact (M), Modeled cost. No alternative acceptable therapy. Life threatening clinical significance. </t>
  </si>
  <si>
    <t>Clinical Significance,0.28,Clinical significance increased the probability of recommending coverage by 0.28
Life-Threatening Conditions,0.44,A drug in a life-threatening condition had an increased probability of being recommended for coverage of 0.44
Relevance of Evidence,0.12,Relevance of evidence increased probability by 0.12
Previously Considered Drugs,0.15,Drugs previously considered are significantly more likely to be recommended
High-Quality Modeled Outcomes,0.09,Modeled outcome validity had a marginal effect of 0.09
igher Incremental Cost per QALY,-0.06,An increase in $A10,000 from a mean incremental cost per QALY reduced the probability of listing by 0.06
Higher Total Cost to Government,-0.01,An extra $A5 million in cost to government lowered the probability of recommendation by 0.03
Modeled Cost Flaws,-0.09,Modeled cost marginal effect of -0.09
Lack of Clinical Significance in Life-Threatening Conditions,-0.23,Life-threatening clinical significance had a marginal effect of -0.23
Uncertainty in Modeled Validity,0.02,Model validity marginal effect near 0</t>
  </si>
  <si>
    <t>Clinical Significance, 0.28, "Clinical significance increased the probability of recommending coverage by 0.28 (Table 3)."
Life-Threatening Conditions, 0.44, "A drug in a life-threatening condition had an increased probability of being recommended for coverage of 0.44 (Table 3)."
Relevance of Evidence, 0.12, "Relevance of evidence increased probability by 0.12 (Table 3)."
Previously Considered Drugs, 0.15, "Drugs previously considered are significantly more likely to be recommended (Table 3)."
High-Quality Modeled Outcomes, 0.09, "Modeled outcome validity had a marginal effect of 0.09 (Table 3)."</t>
  </si>
  <si>
    <t>Higher Incremental Cost per QALY, -0.06, "An increase in $A10,000 from a mean incremental cost per QALY reduced the probability of listing by 0.06 (Table 3)."
Higher Total Cost to Government, -0.01, "An extra $A5 million in cost to government lowered the probability of recommendation by 0.03 (text above Table 3)."
Modeled Cost Flaws, -0.09, "Modeled cost marginal effect of -0.09 (Table 3)."
Lack of Clinical Significance in Life-Threatening Conditions, -0.23, "Life-threatening clinical significance had a marginal effect of -0.23 (Table 3)."
Uncertainty in Modeled Validity, 0.02, "Model validity marginal effect near 0 (Table 3)."</t>
  </si>
  <si>
    <t>Major new drug submissions</t>
  </si>
  <si>
    <t>1994–2004</t>
  </si>
  <si>
    <t>Drugs (Pharmaceuticals)</t>
  </si>
  <si>
    <t>confidential
administrative database (1994-2003) held by
the DHA. AND
We used several sources to extract and codify
the PBAC’s views on the evidence presented to
them and its quality. The primary source was the
minutes of PBAC meetings.</t>
  </si>
  <si>
    <t>Clinical significance, cost-effectiveness, and government cost significantly influenced decisions. Life-threatening conditions increased likelihood of coverage.</t>
  </si>
  <si>
    <t>Limited sample size for QALY data, potential measurement error in subjective variables, and lack of generalizability to non-therapeutic submissions.</t>
  </si>
  <si>
    <t>Supported by Australian National Health and Medical Research Council. Authors provided advisory services to the government but retained independence in analysis and reporting.</t>
  </si>
  <si>
    <t>Relationship between financial impact and coverage of drugs in Australia</t>
  </si>
  <si>
    <t>Mauskopf, J., Chirila, C., Masaquel, C., Boye, K. S., Bowman, L., Birt, J., &amp; Grainger, D. (2013). Relationship between financial impact and coverage of drugs in Australia. *International Journal of Technology Assessment in Health Care, 29*(1), 92–100. https://doi.org/10.1017/S0266462312000724</t>
  </si>
  <si>
    <t>https://doi.org/10.1017/S0266462312000724</t>
  </si>
  <si>
    <t>The statistically significant effects were total
submission count (p=.0029), financial impact (p=.0021), cost
per QALY (p = .0135), and an active comparator (p = .0229</t>
  </si>
  <si>
    <t>Economic: Financial impact, Cost per QALY | Clinical: Active comparator, Disease category</t>
  </si>
  <si>
    <t>Active comprator, superior efficacy</t>
  </si>
  <si>
    <t>Financial Impact, Cost per QALY &gt;75K, Active, Oncology, Meta-analysis presence</t>
  </si>
  <si>
    <t>C - Other (PBAC, external academic evaluations, and industry sponsors)</t>
  </si>
  <si>
    <t>July 2005 – November 2009</t>
  </si>
  <si>
    <t>Pharmaceuticals for various conditions, including oncology</t>
  </si>
  <si>
    <t>PBAC public summary database (https://www.health.gov.au/internet/main/publishing.nsf/Content/public-summary-documents-by-product)</t>
  </si>
  <si>
    <t>Financial impact is a significant predictor of reimbursement recommendations, alongside cost per QALY and active comparators. Submissions with a financial impact ≤A$0 had the highest probability of reimbursement. Submissions with a cost per QALY ≤A$45,000 and an active comparator were more likely to be recommended.</t>
  </si>
  <si>
    <t>Financial impact and cost per QALY were often reported as ranges or inequalities, limiting analysis precision. Small sample size constrained the ability to include more explanatory variables.</t>
  </si>
  <si>
    <t>Sponsored by Eli Lilly and Company. Authors from RTI Health Solutions and Eli Lilly reported payment to their institutions for this study.</t>
  </si>
  <si>
    <t>The study highlights the importance of financial impact in the PBAC decision-making process and demonstrates methodological approaches for integrating budget considerations into HTA recommendations.</t>
  </si>
  <si>
    <t>Reimbursement decisions for pharmaceuticals in Sweden: The impact of disease severity and cost effectiveness.</t>
  </si>
  <si>
    <t>Svensson, M., Nilsson, F. O. L., &amp; Arnberg, K. (2015). Reimbursement decisions for pharmaceuticals in Sweden: The impact of disease severity and cost effectiveness. *PharmacoEconomics, 33*(12), 1229–1236. https://doi.org/10.1007/s40273-015-0307-6</t>
  </si>
  <si>
    <t>https://doi.org/10.1007/s40273-015-0307-6</t>
  </si>
  <si>
    <t>Positive Drivers: Clinical significance, Societal perspective, Targeting high-severity diseases, Targeting specific disease areas, Value-Based Pricing (VBP)
Negative Drivers: Uncertainty in cost-effectiveness estimates, High incremental cost-effectiveness ratios (ICERs), End-of-life treatments, Lack of robust evidence, Lower cost-effectiveness ratios from NICE or other benchmarks
Neutral or Context-Dependent Drivers: Type of reimbursement (full, restricted, conditional), Year of decision</t>
  </si>
  <si>
    <t>Disease, Economic, Evidence, Cost, Treatment</t>
  </si>
  <si>
    <t>Clinical significance, Societal perspective, Targeting high-severity diseases, Targeting specific disease areas, Value-Based Pricing (VBP)</t>
  </si>
  <si>
    <t>Pharmaceutical reimbursement decisions</t>
  </si>
  <si>
    <t>2005–2011</t>
  </si>
  <si>
    <t>Decisions by TLV, Sweden</t>
  </si>
  <si>
    <t>The cost per QALY and severity of disease significantly influence reimbursement decisions. Approval is 50% likely at SEK 702,000 for non-severe diseases and SEK 988,000 for severe diseases.</t>
  </si>
  <si>
    <t>Limited sample size for public data, subjective criteria for severity classification, and lack of specific guidance on thresholds for QALY.</t>
  </si>
  <si>
    <t>Supported by Swedish Research Council. Authors report no conflicts of interest.</t>
  </si>
  <si>
    <t>What can we expect from value-based funding of medicines?</t>
  </si>
  <si>
    <t>Harris, A., Li, J. J., &amp; Yong, K. (2016). What can we expect from value-based funding of medicines? PharmacoEconomics, 34(4), 393–402.</t>
  </si>
  <si>
    <t>https://doi.org/10.1007/s40273-015-0354-z</t>
  </si>
  <si>
    <t>Cost per QALY, Annual expenditure, Clinically meaningful effects, Evidence quality, Life-threatening condition, No active treatment comparator, Public pressure</t>
  </si>
  <si>
    <t>Cost, Clinical value, Evidence strength, Contextual factors</t>
  </si>
  <si>
    <t>Clinically meaningful effects, Evidence quality, Life-threatening condition, No active treatment comparator</t>
  </si>
  <si>
    <t>High cost per QALY, High annual expenditure, Non-RCT-based evidence</t>
  </si>
  <si>
    <t>1993–2009</t>
  </si>
  <si>
    <t>PBAC Minutes, Public Summary Documents</t>
  </si>
  <si>
    <t>Incremental cost per QALY impacts recommendations; life-threatening conditions and lack of comparators increase odds of positive recommendations.</t>
  </si>
  <si>
    <t>Crude public pressure measure, incomplete pricing agreement transparency, possible ICER underestimation.</t>
  </si>
  <si>
    <t>Australian Research Council, No other conflicts.</t>
  </si>
  <si>
    <t>Focuses on bargaining power dynamics in HTA decisions.</t>
  </si>
  <si>
    <t>Countries</t>
  </si>
  <si>
    <t>Counts</t>
  </si>
  <si>
    <t>Bulgaria</t>
  </si>
  <si>
    <t>Croatia</t>
  </si>
  <si>
    <t>Czechia</t>
  </si>
  <si>
    <t>Denmark</t>
  </si>
  <si>
    <t>Estonia</t>
  </si>
  <si>
    <t>Italy</t>
  </si>
  <si>
    <t>Latvia</t>
  </si>
  <si>
    <t>Lithuania</t>
  </si>
  <si>
    <t>New Zealand</t>
  </si>
  <si>
    <t>Romania</t>
  </si>
  <si>
    <t>Slovakia</t>
  </si>
  <si>
    <t>Type of Dataset Used</t>
  </si>
  <si>
    <t>Entire HTA database</t>
  </si>
  <si>
    <t>HTA database specific product/category</t>
  </si>
  <si>
    <t xml:space="preserve"> Study Objective</t>
  </si>
  <si>
    <t xml:space="preserve">HTA Drivers </t>
  </si>
  <si>
    <t>Prediction Model for HTA Decision</t>
  </si>
  <si>
    <t>Comparison of HTA bodies</t>
  </si>
  <si>
    <t>Regression</t>
  </si>
  <si>
    <t>Advanced Machine Learning</t>
  </si>
  <si>
    <t>Classical statistics (t-test, Chi-Square)</t>
  </si>
  <si>
    <t>Years</t>
  </si>
  <si>
    <t xml:space="preserve"> Study ID</t>
  </si>
  <si>
    <t>Date of Extraction</t>
  </si>
  <si>
    <t>Person and method (with Ai or without) Extracting the data</t>
  </si>
  <si>
    <t>"October 1, 2024"</t>
  </si>
  <si>
    <t>NIKOLAOS / AI</t>
  </si>
  <si>
    <t>(A) HTA Drivers</t>
  </si>
  <si>
    <t xml:space="preserve">(a) sampling from HTA database </t>
  </si>
  <si>
    <t>The study included HTAs from Australia, Canada, Denmark, The Netherlands, New Zealand, Norway, Sweden, Great Britain, and the USA.</t>
  </si>
  <si>
    <t>(A) Regression</t>
  </si>
  <si>
    <t>October 1, 2024</t>
  </si>
  <si>
    <t>(C) Comparison of HTA bodies</t>
  </si>
  <si>
    <t>(b) Entire HTA database</t>
  </si>
  <si>
    <t>October 2, 2024</t>
  </si>
  <si>
    <t>NICE decisions, United Kingdom</t>
  </si>
  <si>
    <t>Nikolaos (AI-assisted extraction)</t>
  </si>
  <si>
    <t>(A) HTA Drivers 
(c) Comparison of HTA Bodies</t>
  </si>
  <si>
    <t>(c) HTA database specific product/category</t>
  </si>
  <si>
    <t>International: Europe, Canada, Australia</t>
  </si>
  <si>
    <t>United Kingdom</t>
  </si>
  <si>
    <t>Higher budget impact increased odds of restriction $ Indications for cardiovascular or obstetrics/gynaecology increased odds of restriction $ Inclusion of patient submission increased odds of non-recommendation</t>
  </si>
  <si>
    <t>Budget impact: coefficient = 0.0069, p=0.051 $ Cardiovascular therapies: log odds = 1.4, p=0.017 $ Obstetrics/gynaecology therapies: log odds = 2.4, p=0.032 $ Patient submission: log odds = 1.79, p=0.032</t>
  </si>
  <si>
    <t>Yes $ References to previous analyses of HTA decision-making processes.</t>
  </si>
  <si>
    <t>"This study represents the first published quantitative analysis of real-world CVZ decision-making, providing insights into the factors influencing HTA decisions in the Netherlands.</t>
  </si>
  <si>
    <t>Germany and England</t>
  </si>
  <si>
    <t>Appropriate comparative therapy
Budget impact (log, various terms)</t>
  </si>
  <si>
    <t>Not statistically significant</t>
  </si>
  <si>
    <t>Relevant studies cited</t>
  </si>
  <si>
    <t>-</t>
  </si>
  <si>
    <t>01-Oct-2024</t>
  </si>
  <si>
    <t xml:space="preserve">October 2, 2024 </t>
  </si>
  <si>
    <t>International</t>
  </si>
  <si>
    <t>UK (Wales)</t>
  </si>
  <si>
    <t>Nikolaos / AI</t>
  </si>
  <si>
    <t>Ireland, European Context</t>
  </si>
  <si>
    <t>No such empirical study on HTA criteria for Ireland exists in the literature.</t>
  </si>
  <si>
    <t>Based on a retrospective analysis of NCPE data.</t>
  </si>
  <si>
    <t>NIKOLAOS / Manual</t>
  </si>
  <si>
    <t xml:space="preserve">
(A) HTA Drivers 
(c) Comparison of HTA bodies</t>
  </si>
  <si>
    <t>European Union (12 EU countries)</t>
  </si>
  <si>
    <t>Yes, references included other studies on orphan drug reimbursement and HTA decision making.</t>
  </si>
  <si>
    <t>CEE countries (Central and Eastern Europe)</t>
  </si>
  <si>
    <t>The study covered HTAs from 7 OECD countries, including Australia, Canada, England, France, Germany, Scotland, and Sweden.</t>
  </si>
  <si>
    <t>(D) Classical statistics (t-test, Chi-Square)</t>
  </si>
  <si>
    <t xml:space="preserve">Nikos </t>
  </si>
  <si>
    <t>Europe: England/Wales, France, Germany, Netherlands, Scotland</t>
  </si>
  <si>
    <t xml:space="preserve">NIKOLAOS / AI </t>
  </si>
  <si>
    <t>(B) Prediction Model for HTA Decision</t>
  </si>
  <si>
    <t>(C) Advanced Machine Learning</t>
  </si>
  <si>
    <t>Referenced various systematic reviews and studies related to HTA decision-making and surrogate endpoints.</t>
  </si>
  <si>
    <t>October 3, 2024</t>
  </si>
  <si>
    <t>British Columbia, Canada</t>
  </si>
  <si>
    <t>Total time required</t>
  </si>
  <si>
    <t>7 hours and 35 minutes</t>
  </si>
  <si>
    <t>Revealed and Stated Preferences of Decision Makers for Priority Setting in Health Technology Assessment: A Systematic Review</t>
  </si>
  <si>
    <t xml:space="preserve"> Study Objective
DROP DOWN LIST:
(a) HTA Drivers
(b) Prediction Model for HTA Decision
(C) Comparison of HTA bodies)
</t>
  </si>
  <si>
    <r>
      <t xml:space="preserve">Study Design (e.g., source of data)
</t>
    </r>
    <r>
      <rPr>
        <b/>
        <sz val="11"/>
        <color rgb="FFFF0000"/>
        <rFont val="Calibri"/>
        <family val="2"/>
        <charset val="161"/>
        <scheme val="minor"/>
      </rPr>
      <t>DROP DOWN LIST:
(a) sampling from HTA database 
(b) entire HTA database
(c) HTA database specific product/category</t>
    </r>
  </si>
  <si>
    <t xml:space="preserve"> Statistical Methods/ML Algorithms
DROP DOWN LIST:
(A) Regression
(B) Clusterring
(C) Advanced Machine Learning
(D) Classical statistics (t-test, ChiSquare)</t>
  </si>
  <si>
    <t xml:space="preserve"> POSITIVE Drivers Identified
 </t>
  </si>
  <si>
    <t xml:space="preserve"> NEGATIVE Drivers Identified
</t>
  </si>
  <si>
    <t>a</t>
  </si>
  <si>
    <t>Evaluation on the First 2 Years of the Positive List System in South Korea.</t>
  </si>
  <si>
    <t>HTA Drivers</t>
  </si>
  <si>
    <t>b</t>
  </si>
  <si>
    <t>Drug reimbursement recommendations by the National Institute for Health and Clinical Excellence: Have they impacted the National Health Service budget?</t>
  </si>
  <si>
    <t>Sampling from HTA Database</t>
  </si>
  <si>
    <t>UK</t>
  </si>
  <si>
    <t>c</t>
  </si>
  <si>
    <t>Are Cancer Drugs Less Likely to be Recommended for Listing by the Pharmaceutical Benefits Advisory Committee in Australia?</t>
  </si>
  <si>
    <t>(a) HTA Drivers</t>
  </si>
  <si>
    <t>(a) sampling from HTA database</t>
  </si>
  <si>
    <t>d</t>
  </si>
  <si>
    <t>Medicare Is Scrutinizing Evidence More Tightly For National Coverage Determinations</t>
  </si>
  <si>
    <t>(b) Entire HTA Database</t>
  </si>
  <si>
    <t>E</t>
  </si>
  <si>
    <t>The Role of Value for Money in Public Insurance Coverage Decisions for Drugs in Australia: A Retrospective Analysis 1994-2004</t>
  </si>
  <si>
    <t>F</t>
  </si>
  <si>
    <t>(a) Sampling from HTA database</t>
  </si>
  <si>
    <t>G</t>
  </si>
  <si>
    <t>Reimbursement Decisions for Pharmaceuticals in Sweden: The Impact of Disease Severity and Cost Effectiveness</t>
  </si>
  <si>
    <t>H</t>
  </si>
  <si>
    <t>What Can We Expect from Value-Based Funding of Medicines?</t>
  </si>
  <si>
    <t>Sampling from HTA database</t>
  </si>
  <si>
    <t>Broader Driver Category</t>
  </si>
  <si>
    <t>Comparison</t>
  </si>
  <si>
    <t>Driver</t>
  </si>
  <si>
    <t>Type of Association Measure</t>
  </si>
  <si>
    <t>Association</t>
  </si>
  <si>
    <t>Lower Bound of 95%CI</t>
  </si>
  <si>
    <t>Upper Bound of 95%CI</t>
  </si>
  <si>
    <t>SE</t>
  </si>
  <si>
    <t>SD</t>
  </si>
  <si>
    <t>P-Value</t>
  </si>
  <si>
    <t>Countries Assessed</t>
  </si>
  <si>
    <t>Reference</t>
  </si>
  <si>
    <t>Aggegated Table</t>
  </si>
  <si>
    <t>Reported Association Range</t>
  </si>
  <si>
    <t>Lower Bound</t>
  </si>
  <si>
    <t>Upper Bound</t>
  </si>
  <si>
    <t>References</t>
  </si>
  <si>
    <t>HELPER COLUMN (OR/RRR)</t>
  </si>
  <si>
    <t>Aggegated Table OR/RRR TOGETHER</t>
  </si>
  <si>
    <t>Aggrgated Table only statistically Significant</t>
  </si>
  <si>
    <t>Innovation</t>
  </si>
  <si>
    <t>Recommended vs Not Recommended</t>
  </si>
  <si>
    <t>OR</t>
  </si>
  <si>
    <t>Wales (UK)</t>
  </si>
  <si>
    <t>(Linley &amp; Hughes, 2012)</t>
  </si>
  <si>
    <t>OR = Odds Ratio
RRR = Relative Risk Rate
ME = Marginal Effect</t>
  </si>
  <si>
    <t>New indication</t>
  </si>
  <si>
    <t>OR / RRR</t>
  </si>
  <si>
    <t>Positive vs Negative</t>
  </si>
  <si>
    <t>NS</t>
  </si>
  <si>
    <t>CANADA-(INESSS), CANADA-(CADTH) Scotland, UK, France</t>
  </si>
  <si>
    <t>(Mills, 2023)</t>
  </si>
  <si>
    <t>(H. Dakin, Devlin, Feng, Rice, O’Neill, et al., 2015)</t>
  </si>
  <si>
    <t>Resubmission</t>
  </si>
  <si>
    <t>RRR</t>
  </si>
  <si>
    <t>Australia, Canada, England, France, Germany, Scotland, Sweden</t>
  </si>
  <si>
    <t>(Kanavos et al., 2023)</t>
  </si>
  <si>
    <t>ME</t>
  </si>
  <si>
    <t>(Haque et al., 2023)</t>
  </si>
  <si>
    <t>New Indication</t>
  </si>
  <si>
    <t>Recommended  vs not Recommended</t>
  </si>
  <si>
    <t>(Chim et al., 2010)</t>
  </si>
  <si>
    <t>Type of Technology - MedTEch</t>
  </si>
  <si>
    <t>Resubmission (previously considered)</t>
  </si>
  <si>
    <t>(A. H. Harris et al., 2008)</t>
  </si>
  <si>
    <t>Type of Technology - Pharma</t>
  </si>
  <si>
    <t>Reimbursed vs not Reimbursed</t>
  </si>
  <si>
    <t>Prior Submission</t>
  </si>
  <si>
    <t>(Bae et al., 2018)</t>
  </si>
  <si>
    <t>Rollout Time (per month increase)</t>
  </si>
  <si>
    <t>Recommended vs not Recommended</t>
  </si>
  <si>
    <t>reverse of first submission</t>
  </si>
  <si>
    <t>(A. Harris et al., 2016)</t>
  </si>
  <si>
    <t>Type of Technology (Medical Devices vs. Procedures)</t>
  </si>
  <si>
    <t>The Netherlands, New Zealand, Norway, Sweden, UK, USA</t>
  </si>
  <si>
    <t>(Draborg &amp; Andersen, 2006)</t>
  </si>
  <si>
    <t>Type of Technology (Pharmaceuticals vs. Procedures)</t>
  </si>
  <si>
    <t>Routine vs Not Recommended (reversed)</t>
  </si>
  <si>
    <t>Type of Technology (Pharmaceutical vs Other)</t>
  </si>
  <si>
    <t>(H. A. Dakin et al., 2006)</t>
  </si>
  <si>
    <t xml:space="preserve">Appropriate Comparator </t>
  </si>
  <si>
    <t>Appropriate Comparator (Diagnostics)</t>
  </si>
  <si>
    <t>(Merlin et al., 2016)</t>
  </si>
  <si>
    <t>RCT Relevance</t>
  </si>
  <si>
    <t>P-Value ( &lt; from)</t>
  </si>
  <si>
    <t>Aggegated Table OR/RRR TOGETHER ONLY STATISTICALLY SIGNIFICANT</t>
  </si>
  <si>
    <t>vs Canada</t>
  </si>
  <si>
    <t>USA vs Canada</t>
  </si>
  <si>
    <t>New Zealand vs Canada</t>
  </si>
  <si>
    <t>Norway vs Canada</t>
  </si>
  <si>
    <t>Denmark vs Canada</t>
  </si>
  <si>
    <t>Sweden vs Canada</t>
  </si>
  <si>
    <t>The Netherlands vs Canada</t>
  </si>
  <si>
    <t>Great Britain vs Canada</t>
  </si>
  <si>
    <t>Australia vs Canada</t>
  </si>
  <si>
    <t>vs NICE</t>
  </si>
  <si>
    <t>Australia vs NICE</t>
  </si>
  <si>
    <t>Australia, England</t>
  </si>
  <si>
    <t>Canada-(CADTH) vs NICE</t>
  </si>
  <si>
    <t>Canada-(CADTH), England</t>
  </si>
  <si>
    <t>France-(HAS) vs NICE</t>
  </si>
  <si>
    <t>France-(HAS), England</t>
  </si>
  <si>
    <t>Sweden vs NICE</t>
  </si>
  <si>
    <t>Sweden, England</t>
  </si>
  <si>
    <t>Scotland vs NICE</t>
  </si>
  <si>
    <t>Scotland, England</t>
  </si>
  <si>
    <t>Germany vs NICE</t>
  </si>
  <si>
    <t>Canada-(INESSS) vs NICE</t>
  </si>
  <si>
    <t>P-Value (&lt; from)</t>
  </si>
  <si>
    <t>Aggrgated Table</t>
  </si>
  <si>
    <t>Cardiovascular Diseases</t>
  </si>
  <si>
    <t>Disease Characteristics – Cardiovascular</t>
  </si>
  <si>
    <t>Recommended vs Not Recommended (reversed)</t>
  </si>
  <si>
    <t>(Cerri, Knapp, &amp; Fernandez, 2014a)</t>
  </si>
  <si>
    <t>Chronic Disease</t>
  </si>
  <si>
    <t>Product  indicated for chronic use</t>
  </si>
  <si>
    <t>(Charokopou et al., 2015)</t>
  </si>
  <si>
    <t>Nervous System Diseases</t>
  </si>
  <si>
    <t>Disease Characteristics – Nervous System</t>
  </si>
  <si>
    <t xml:space="preserve">  0.009</t>
  </si>
  <si>
    <t>Obstetrics, gynaceology, urinary-tract Diseases</t>
  </si>
  <si>
    <t>Disease Characteristics – Obstetrics, gynaceology, urinary-tract disorders</t>
  </si>
  <si>
    <t>Disease Clinical Uncertainties Overcome</t>
  </si>
  <si>
    <t>CANADA-(CADTH)</t>
  </si>
  <si>
    <t>France-(HAS)</t>
  </si>
  <si>
    <t>Disease Severity</t>
  </si>
  <si>
    <t>Disease Severity (Life Threatening)</t>
  </si>
  <si>
    <t>Disease Severity (Life Threatening</t>
  </si>
  <si>
    <t xml:space="preserve">  0.05</t>
  </si>
  <si>
    <t>Significant ASMR vs Insignificant ASMR</t>
  </si>
  <si>
    <t>France (ASMR)</t>
  </si>
  <si>
    <t>(Kergall et al., 2021)</t>
  </si>
  <si>
    <t>Approved Reimbursement vs Declined Reimbursement</t>
  </si>
  <si>
    <t>High Severity</t>
  </si>
  <si>
    <t>(Svensson et al., 2015)</t>
  </si>
  <si>
    <t>Disease Severity (Burden YLL = 1 if disease impact is bigger on survival than disability)</t>
  </si>
  <si>
    <t>End of Life criteria considered and accepted</t>
  </si>
  <si>
    <t>(Mauskopf et al., 2013)</t>
  </si>
  <si>
    <t>Life Threteaning - Severity</t>
  </si>
  <si>
    <t>France (SMR)</t>
  </si>
  <si>
    <t>Disease Severity - ICER</t>
  </si>
  <si>
    <t>Disease Severity ICER</t>
  </si>
  <si>
    <t>(Tranvåg et al., 2022)</t>
  </si>
  <si>
    <t>Infectious Diseases</t>
  </si>
  <si>
    <t>Disease Characteristics – Infectious</t>
  </si>
  <si>
    <t>Musculoskeletal Diseases</t>
  </si>
  <si>
    <t>Disease Characteristics – Musculoskeletal</t>
  </si>
  <si>
    <t>Oncology</t>
  </si>
  <si>
    <t>Disease Characteristics – Oncology</t>
  </si>
  <si>
    <t xml:space="preserve">  0.177</t>
  </si>
  <si>
    <t>Australia, Canada-(CADTH), Canada-(INESSS), England, France-(HAS), Germany, Scotland, Sweden</t>
  </si>
  <si>
    <t>Orphan Drug</t>
  </si>
  <si>
    <t>Disease Characteristics – Orphan Drug</t>
  </si>
  <si>
    <t>(Pinto et al., 2020)</t>
  </si>
  <si>
    <t>(Kawalec et al., 2018)</t>
  </si>
  <si>
    <t>Canada-(INESSS)</t>
  </si>
  <si>
    <t>Canada-(CADTH)</t>
  </si>
  <si>
    <t>Paediatric</t>
  </si>
  <si>
    <t>Special Demographics (paediatric)</t>
  </si>
  <si>
    <t>Palliative vs curative - adjuvant</t>
  </si>
  <si>
    <t>Palliative vs curative/adjuvant</t>
  </si>
  <si>
    <t>1/2,7</t>
  </si>
  <si>
    <t>(Karikios et al., 2017)</t>
  </si>
  <si>
    <t>Patient Participation</t>
  </si>
  <si>
    <t>Inclusion of patient submission</t>
  </si>
  <si>
    <t>Patient Population Not Reported</t>
  </si>
  <si>
    <t>Preventive vs Curative</t>
  </si>
  <si>
    <t>Significant SMR vs Insignificant SMR</t>
  </si>
  <si>
    <t>Public Health - Impact</t>
  </si>
  <si>
    <t>Public Health Impact</t>
  </si>
  <si>
    <t>Respiratory</t>
  </si>
  <si>
    <t>Disease Characteristics – Respiratory</t>
  </si>
  <si>
    <t>Special Demographics</t>
  </si>
  <si>
    <t>Special Demographics (paediatric / elderly etc)</t>
  </si>
  <si>
    <t>Symptomatic vs Curative</t>
  </si>
  <si>
    <t>Ultra Orphan Drug</t>
  </si>
  <si>
    <t>Disease Characteristics – Ultra-Orphan Drug</t>
  </si>
  <si>
    <t>Unmet Need</t>
  </si>
  <si>
    <t>No Substitute</t>
  </si>
  <si>
    <t>Only Treatment</t>
  </si>
  <si>
    <t>No Alternatives (treatment)</t>
  </si>
  <si>
    <t>Significant ΑSMR vs Insignificant ΑSMR</t>
  </si>
  <si>
    <t>France, UK, Scotland, Canada</t>
  </si>
  <si>
    <t>Unstable</t>
  </si>
  <si>
    <t>Alternatives (treatment)</t>
  </si>
  <si>
    <t>(Pauwels et al., 2015)</t>
  </si>
  <si>
    <t>Disease Characteristics – Orphan Drug (Surrogate)</t>
  </si>
  <si>
    <t xml:space="preserve">  0.047</t>
  </si>
  <si>
    <t>International, United Kingdom, Scotland, France, Australia, Canada, Germany, Netherlands, Hungary</t>
  </si>
  <si>
    <t>(Ciani et al., 2021)</t>
  </si>
  <si>
    <t>Replacement of Comparator (Diagnostics)</t>
  </si>
  <si>
    <t>Limited Substitute</t>
  </si>
  <si>
    <t>Diabetes Complications rather than Diabetes</t>
  </si>
  <si>
    <t>No alternative acceptable therapy</t>
  </si>
  <si>
    <t>Cancer</t>
  </si>
  <si>
    <t>Patient group submission</t>
  </si>
  <si>
    <t>CANADA-(INESSS)</t>
  </si>
  <si>
    <t>P-Value ( from)</t>
  </si>
  <si>
    <t>Year Trend</t>
  </si>
  <si>
    <t>Year of appraisal</t>
  </si>
  <si>
    <t>(Cerri, Knapp, &amp; Fernandez, 2014b)</t>
  </si>
  <si>
    <t>Year Trend (2002 - 2003 vs 1999-2002)</t>
  </si>
  <si>
    <t>USA (Medicare)</t>
  </si>
  <si>
    <t>(Chambers et al., 2015)</t>
  </si>
  <si>
    <t>Year Trend (2004-2008 vs 1999-2002)</t>
  </si>
  <si>
    <t>Year Trend (2008-2012 vs 1999-2002)</t>
  </si>
  <si>
    <t>Year of Publication (2000–2002 vs. Reference)</t>
  </si>
  <si>
    <t>Pre and Post Policy Change</t>
  </si>
  <si>
    <t>Year of Publication (before and after 2013 when reform happened)</t>
  </si>
  <si>
    <t>South Korean</t>
  </si>
  <si>
    <t>External Assesor</t>
  </si>
  <si>
    <t>Assessor (External vs. Internal)</t>
  </si>
  <si>
    <t>Assessor (Internal and External, vs. Internal)</t>
  </si>
  <si>
    <t>COVID19</t>
  </si>
  <si>
    <t>Reimbursed vs not</t>
  </si>
  <si>
    <t>Crises – COVID19</t>
  </si>
  <si>
    <t>(Cardoso et al., 2023)</t>
  </si>
  <si>
    <t>Election year</t>
  </si>
  <si>
    <t>Big Company Submission</t>
  </si>
  <si>
    <t>Newspaper Pressure</t>
  </si>
  <si>
    <t>Public Pressure (newspaper reports)</t>
  </si>
  <si>
    <t>HTA Submission - Economic Aspect Completeness</t>
  </si>
  <si>
    <t>HTA Aspect (Economic)</t>
  </si>
  <si>
    <t>HTA Aspect - Patient Aspect Completeness</t>
  </si>
  <si>
    <t>HTA Aspect (Patient)</t>
  </si>
  <si>
    <t>HTA Aspect - Organizational Aspect Completeness</t>
  </si>
  <si>
    <t>HTA Aspect (Organizational)</t>
  </si>
  <si>
    <t>Legal Act Required for Positive Decision</t>
  </si>
  <si>
    <t>Positive vs Non-Positive</t>
  </si>
  <si>
    <t>(Merész &amp; Gaál, 2023)</t>
  </si>
  <si>
    <t>HTA Aspect - Technological Aspect Completeness</t>
  </si>
  <si>
    <t>HTA Aspect (Technological)</t>
  </si>
  <si>
    <t>Single Technology Appraisals</t>
  </si>
  <si>
    <t>2015 vs 2013</t>
  </si>
  <si>
    <t>P-Value ()</t>
  </si>
  <si>
    <t>Acceptable Efficacy</t>
  </si>
  <si>
    <t>Efficacy – Acceptable (Clinically meaningful effect)</t>
  </si>
  <si>
    <t>Efficacy – Intermediate</t>
  </si>
  <si>
    <t>Positive vs Not Positive</t>
  </si>
  <si>
    <t>Efficacy Acceptable</t>
  </si>
  <si>
    <t>(Malinowski et al., 2016)</t>
  </si>
  <si>
    <t>Efficacy Established</t>
  </si>
  <si>
    <t>(Niewada et al., 2013)</t>
  </si>
  <si>
    <t>Acceptable Safety</t>
  </si>
  <si>
    <t>Safety – Acceptable</t>
  </si>
  <si>
    <t xml:space="preserve"> 0.051</t>
  </si>
  <si>
    <t>Safety – Acceptable (reversed the safety ambiguous or unfavorable)</t>
  </si>
  <si>
    <t>QALY benefit</t>
  </si>
  <si>
    <t>QALY GAIN</t>
  </si>
  <si>
    <t>QoL</t>
  </si>
  <si>
    <t>Other positive Bodies/Committees Recommendations</t>
  </si>
  <si>
    <t>Recommendations issued by HTA agencies abroad – positive</t>
  </si>
  <si>
    <t xml:space="preserve">  0.040</t>
  </si>
  <si>
    <t>Strong Efficacy</t>
  </si>
  <si>
    <t>Efficacy – Important</t>
  </si>
  <si>
    <t>Superior Efficacy</t>
  </si>
  <si>
    <t>Clinical Effectiveness (Better)</t>
  </si>
  <si>
    <t>(Schaefer et al., 2023)</t>
  </si>
  <si>
    <t>Clinical Significance (Efficacy)</t>
  </si>
  <si>
    <t>Significant efficacy:  mortality, morbidity, and health-related quality of life</t>
  </si>
  <si>
    <t>Superior efficacy</t>
  </si>
  <si>
    <t xml:space="preserve">  0.0636</t>
  </si>
  <si>
    <t>Superior Efficacy in RCTs</t>
  </si>
  <si>
    <t>Superior Safety</t>
  </si>
  <si>
    <t>Superior safety</t>
  </si>
  <si>
    <t>Trial phase</t>
  </si>
  <si>
    <t>Similar Efficacy</t>
  </si>
  <si>
    <t>Clinical Effectiveness (Similar)</t>
  </si>
  <si>
    <t>strength of Association (surrogate outcome)</t>
  </si>
  <si>
    <t>United Kingdom, Scotland, France, Australia, Canada, Germany, Netherlands, Hungary</t>
  </si>
  <si>
    <t>Relative Efficacy – Same as comparator</t>
  </si>
  <si>
    <t xml:space="preserve"> 0.003</t>
  </si>
  <si>
    <t>Relative Efficacy – Superior to comparator</t>
  </si>
  <si>
    <t>&lt;0.001</t>
  </si>
  <si>
    <t>Relative Efficacy – Superior to Comparator</t>
  </si>
  <si>
    <t xml:space="preserve">  0.006</t>
  </si>
  <si>
    <t>Recommended vs Rejected</t>
  </si>
  <si>
    <t xml:space="preserve"> &lt;0.05</t>
  </si>
  <si>
    <t>(Park et al., 2012)</t>
  </si>
  <si>
    <t>Overall Survival benefit</t>
  </si>
  <si>
    <t>Number of recommended decisions made by other committees</t>
  </si>
  <si>
    <t>P-Value &lt;</t>
  </si>
  <si>
    <t>RCT Presence</t>
  </si>
  <si>
    <t>A. H. Harris et al., 2008</t>
  </si>
  <si>
    <t>Reimbursement vs not Reimbursement</t>
  </si>
  <si>
    <t>(Strand et al., 2022)</t>
  </si>
  <si>
    <t>RCT Presence (comparison through indirect RCTs)</t>
  </si>
  <si>
    <t>Level of evidene assesed (RCT, Observational, Pathophysiological studies)</t>
  </si>
  <si>
    <t>England, Scotland, France, Australia, Canada, Germany, Netherlands, Hungary</t>
  </si>
  <si>
    <t>Validity of outcome measure</t>
  </si>
  <si>
    <t>High Quality of Evidence</t>
  </si>
  <si>
    <t>France (HAS)</t>
  </si>
  <si>
    <t>Canada (INESS)</t>
  </si>
  <si>
    <t>High Quality of Evidence (High quality RCT presence) 
NOTE: weird unexpected fiding, might be too strict definition of high quality</t>
  </si>
  <si>
    <t>High quality of Evidence (RCT Jadad Score)</t>
  </si>
  <si>
    <t>Quality of Evidence (NICE Assessment of clinical evidence Agreed)</t>
  </si>
  <si>
    <t>Quality of evidence</t>
  </si>
  <si>
    <t>(Schmitz et al., 2016)</t>
  </si>
  <si>
    <t>Quality of Evidence Acceptable (not poor quality of evidence)</t>
  </si>
  <si>
    <t>(Hill et al., 2022)</t>
  </si>
  <si>
    <t xml:space="preserve">Quality of Evidence (Quality of studies) </t>
  </si>
  <si>
    <t>Indirect Comparison</t>
  </si>
  <si>
    <t>Direct Evidence on Final outcomes</t>
  </si>
  <si>
    <t>Quality of Submission - acceptable</t>
  </si>
  <si>
    <t>Quality of Submission - acceptable (reversed "formal shortcomings")</t>
  </si>
  <si>
    <t>Surrogate Endpoint</t>
  </si>
  <si>
    <t>Surrogate Endpoint (Cancer Drugs)</t>
  </si>
  <si>
    <t>No evidence for impact on hard end points</t>
  </si>
  <si>
    <t>Haque et al., 2023)</t>
  </si>
  <si>
    <t>Clinical Uncertainties</t>
  </si>
  <si>
    <t>Clinical Uncertainties – Not overcome</t>
  </si>
  <si>
    <t>High clinical uncertainty</t>
  </si>
  <si>
    <t>Clinical Evidence – Uncertain</t>
  </si>
  <si>
    <t>Clinical Evidence – Uncertain (lack of data on duration of RCTs)</t>
  </si>
  <si>
    <t xml:space="preserve">Clinical Evidence Uncertain (RCTs) </t>
  </si>
  <si>
    <t>USA Medicare</t>
  </si>
  <si>
    <t>Clinical Evidence Uncertain (Other Studies)</t>
  </si>
  <si>
    <t>Clinical Guidelines Consistent</t>
  </si>
  <si>
    <t>Number of Patients</t>
  </si>
  <si>
    <t>Number of patients in RCTs</t>
  </si>
  <si>
    <t>Number of patients in RCTs (thousands)</t>
  </si>
  <si>
    <t>USA MEDICARE</t>
  </si>
  <si>
    <t>Number of Patients included in observational studies</t>
  </si>
  <si>
    <t>Meta-Analysis Presence</t>
  </si>
  <si>
    <t>Number of Systematic Reviews</t>
  </si>
  <si>
    <t>Number of Observational Studies</t>
  </si>
  <si>
    <t>Number of Studies</t>
  </si>
  <si>
    <t>Wales UK</t>
  </si>
  <si>
    <t>Number of Studies and patients Acceptable (not limited data)</t>
  </si>
  <si>
    <t>Availability of Head-to-Head Trials</t>
  </si>
  <si>
    <t>Number of head to head trials</t>
  </si>
  <si>
    <t>Number of Technologies Appraised Simultaneously</t>
  </si>
  <si>
    <t>Comparator Presence</t>
  </si>
  <si>
    <t>Active Comparator Presence</t>
  </si>
  <si>
    <t>Reverse of inactive type of comparator</t>
  </si>
  <si>
    <t>Reverse of the reverse of Comparator Type - inactive vs active</t>
  </si>
  <si>
    <t>Comparator Acceptable</t>
  </si>
  <si>
    <t>Reverse of Reject comparator</t>
  </si>
  <si>
    <t>reverse of (clinical) Endpoint presence</t>
  </si>
  <si>
    <t>reverse of Change in clinical event (vs change in clinical marker)</t>
  </si>
  <si>
    <t>Original Value in Local Currency and report OR units</t>
  </si>
  <si>
    <t>PPP Exchange Rate (Local to International Dollars)</t>
  </si>
  <si>
    <t>Adjusted Unit of Measurement (in Int$)</t>
  </si>
  <si>
    <t>Adjusted Odds Ratio (Per Adjusted Unit of Measurement)</t>
  </si>
  <si>
    <t>Adjusted Lower Bound of 95%CI</t>
  </si>
  <si>
    <t>Adjusted Upper Bound of 95%CI</t>
  </si>
  <si>
    <t>Aggregated Table</t>
  </si>
  <si>
    <t>Aggregated Table only statistically Significant</t>
  </si>
  <si>
    <t>Out of Positive List Expenditure</t>
  </si>
  <si>
    <t>Biennial Expenditure of Individual Funding Requests &gt;200 HUFs</t>
  </si>
  <si>
    <t>Intervention's Expenditure Impact (Threshold)</t>
  </si>
  <si>
    <t>Annual expenditure &gt;10M</t>
  </si>
  <si>
    <t>Intervention's Expenditure Impact</t>
  </si>
  <si>
    <t>Three Year Intervention Expenditure</t>
  </si>
  <si>
    <t>Annual Intervention Expenditure</t>
  </si>
  <si>
    <t>Intervention Expenditure</t>
  </si>
  <si>
    <t>Annual expenditure &gt;5M or unknown</t>
  </si>
  <si>
    <t>Annual Expenditure (£, millions)</t>
  </si>
  <si>
    <t>Budget Impact</t>
  </si>
  <si>
    <t>Log(Budget Impact (Average))</t>
  </si>
  <si>
    <t>Budget Impact (Million USD)</t>
  </si>
  <si>
    <t>Acceptable Cost-Effectiveness</t>
  </si>
  <si>
    <t>Cost Utility Acceptable</t>
  </si>
  <si>
    <t>Cost Effective</t>
  </si>
  <si>
    <t>Zero / Negative Budget Impact</t>
  </si>
  <si>
    <t>Cost equal or less to the comparator</t>
  </si>
  <si>
    <t>Cost of Therapy Acceptable</t>
  </si>
  <si>
    <t>Cost Savings</t>
  </si>
  <si>
    <t>Cost Savings and QALY gain</t>
  </si>
  <si>
    <t>Intervention Deemed Cost-Effective</t>
  </si>
  <si>
    <t>Cost-Effective</t>
  </si>
  <si>
    <t>Cost-Effective (Cancer)</t>
  </si>
  <si>
    <t>Cost-Effective (Incremental Net Monetary Benefit at a cost-effectiveness threshold of 20K per QALY)</t>
  </si>
  <si>
    <t>Clear Cost-Effectiveness (reverse of uncertaint/unknown or imaging test dominated)</t>
  </si>
  <si>
    <t>Cost-minimization analysis performed</t>
  </si>
  <si>
    <t>Economic Uncertainties</t>
  </si>
  <si>
    <t>Economic Uncertainties – Not overcome</t>
  </si>
  <si>
    <t>Economic Uncertainties – Not overcome (uncertain)</t>
  </si>
  <si>
    <t>Economic Uncertainties – Not overcome (very uncertain)</t>
  </si>
  <si>
    <t>Validiity of Cost-Effectiveness Assessment Acceptable</t>
  </si>
  <si>
    <t xml:space="preserve">Validity of Economic Model </t>
  </si>
  <si>
    <t>High economic uncertainty</t>
  </si>
  <si>
    <t>ICER (10K int$ / QALY)</t>
  </si>
  <si>
    <t>ICER (per $10,000 / QALY)</t>
  </si>
  <si>
    <t>ICER &lt; Threshold</t>
  </si>
  <si>
    <t>ICER  &lt; 30K/QALY</t>
  </si>
  <si>
    <t>ICER within a range</t>
  </si>
  <si>
    <t>ICER – 20K to 30K / QALY</t>
  </si>
  <si>
    <t>ICER – Cost / QALY</t>
  </si>
  <si>
    <t>ICER – COST PER QALY (£, thousands)</t>
  </si>
  <si>
    <t>ICER &lt; 30K / QALY</t>
  </si>
  <si>
    <t>ICER = COST / QALY</t>
  </si>
  <si>
    <t>ICER = COST / QALY (thousands)</t>
  </si>
  <si>
    <t>ICER &gt; Threshold</t>
  </si>
  <si>
    <t>ICER &gt; 30K / QALY</t>
  </si>
  <si>
    <t>ICER &gt;A$45,000</t>
  </si>
  <si>
    <t>(Ngo, 2014)</t>
  </si>
  <si>
    <t>Cost-Effectiveness Assessment Acceptable</t>
  </si>
  <si>
    <t>ICUR Validation</t>
  </si>
  <si>
    <t>Frannce (ASMR)</t>
  </si>
  <si>
    <t>Including Cost-effectiveness assessment (unadjusted)</t>
  </si>
  <si>
    <t>RR</t>
  </si>
  <si>
    <t>England, Wales</t>
  </si>
  <si>
    <t>(Vreman et al., 2020)</t>
  </si>
  <si>
    <t>Including Cost-effectiveness assessment</t>
  </si>
  <si>
    <t>NICE Assessment of manufacturer’s model acceptable</t>
  </si>
  <si>
    <t>Including Price Negotiations (unadjusted)</t>
  </si>
  <si>
    <t>Annual Expenditure (AUS$, millions)</t>
  </si>
  <si>
    <t>PBS budget &gt; 10M</t>
  </si>
  <si>
    <t>PBS Cost Estimate &gt;10M</t>
  </si>
  <si>
    <t>Patient Population &gt;10k</t>
  </si>
  <si>
    <t>Risk Sharing Agreement</t>
  </si>
  <si>
    <t>Probablistic Sensitivity Analysis Presence</t>
  </si>
  <si>
    <t>Sizes of eligible Patient population</t>
  </si>
  <si>
    <t>Type of Driver</t>
  </si>
  <si>
    <t>Economic Drivers</t>
  </si>
  <si>
    <t>0,15-0,47</t>
  </si>
  <si>
    <t>(A. Harris et al., 2016), (Karikios et al., 2017), (Chim et al., 2010)</t>
  </si>
  <si>
    <t>0-1,25</t>
  </si>
  <si>
    <t>3,73-4,6</t>
  </si>
  <si>
    <t>(Kawalec et al., 2018), (Malinowski et al., 2016)</t>
  </si>
  <si>
    <t>8,91-152,58</t>
  </si>
  <si>
    <t>South Korea, Australia, Scotland</t>
  </si>
  <si>
    <t>(Park et al., 2012), (Hill et al., 2022), (Charokopou et al., 2015)</t>
  </si>
  <si>
    <t>5,33-45,45</t>
  </si>
  <si>
    <t>Poland, Australia</t>
  </si>
  <si>
    <t>(Niewada et al., 2013), (Hill et al., 2022)</t>
  </si>
  <si>
    <t>0-0,75</t>
  </si>
  <si>
    <t>Australia, South Korea, Australia, Canada-(CADTH), Canada-(INESSS), England, France-(HAS), Germany, Scotland, Sweden</t>
  </si>
  <si>
    <t>(Hill et al., 2022), (Karikios et al., 2017), (Bae et al., 2018), (Haque et al., 2023), (Kanavos et al., 2023)</t>
  </si>
  <si>
    <t>0-0,92</t>
  </si>
  <si>
    <t>Norway, UK, South Korea, Ireland, Sweden, Australia, UK</t>
  </si>
  <si>
    <t>(Tranvåg et al., 2022), (H. Dakin, Devlin, Feng, Rice, O’Neill, et al., 2015), (Bae et al., 2018), (Schmitz et al., 2016), (Strand et al., 2022), (Mauskopf et al., 2013), (Svensson et al., 2015), (A. Harris et al., 2016), (Cerri, Knapp, &amp; Fernandez, 2014b)</t>
  </si>
  <si>
    <t>3,08-10,88</t>
  </si>
  <si>
    <t>UK, Scotland</t>
  </si>
  <si>
    <t>(Schaefer et al., 2023), (Charokopou et al., 2015)</t>
  </si>
  <si>
    <t>0,3-0,47</t>
  </si>
  <si>
    <t>Scotland, Australia</t>
  </si>
  <si>
    <t>(Charokopou et al., 2015), (Ngo, 2014)</t>
  </si>
  <si>
    <t>2,58-6</t>
  </si>
  <si>
    <t>Frannce (ASMR), UK</t>
  </si>
  <si>
    <t>(Kergall et al., 2021), (Mauskopf et al., 2013)</t>
  </si>
  <si>
    <t>Clinical Evidence</t>
  </si>
  <si>
    <t>0,07-92,76</t>
  </si>
  <si>
    <t>Poland, Wales, UK, Ireland, Australia, Canada-(CADTH), Canada-(INESSS), England, France-(HAS), Germany, Scotland, Sweden, UK</t>
  </si>
  <si>
    <t>(Malinowski et al., 2016), (Linley &amp; Hughes, 2012), (Mauskopf et al., 2013), (Schmitz et al., 2016), (Kanavos et al., 2023), (H. A. Dakin et al., 2006)</t>
  </si>
  <si>
    <t>0,05-0,4</t>
  </si>
  <si>
    <t>CANADA-(CADTH), France (HAS), Germany, England, Australia, Scotland, Sweden, Canada (INESS)</t>
  </si>
  <si>
    <t>4,75-5,44</t>
  </si>
  <si>
    <t>(Kawalec et al., 2018), (Niewada et al., 2013)</t>
  </si>
  <si>
    <t>Clinical Effectiveness</t>
  </si>
  <si>
    <t>6,3-125,39</t>
  </si>
  <si>
    <t>Australia, France (SMR), Poland</t>
  </si>
  <si>
    <t>(A. Harris et al., 2016), (Kergall et al., 2021), (Malinowski et al., 2016), (Niewada et al., 2013)</t>
  </si>
  <si>
    <t>5,86-45,98</t>
  </si>
  <si>
    <t>(Malinowski et al., 2016), (Niewada et al., 2013)</t>
  </si>
  <si>
    <t>6,36-524,79</t>
  </si>
  <si>
    <t>Germany, UK, Netherlands</t>
  </si>
  <si>
    <t>(Schaefer et al., 2023), (Cerri, Knapp, &amp; Fernandez, 2014b), (Cerri, Knapp, &amp; Fernandez, 2014a)</t>
  </si>
  <si>
    <t>Other Drivers</t>
  </si>
  <si>
    <t>0,26-0,66</t>
  </si>
  <si>
    <t>USA (Medicare), The Netherlands, New Zealand, Norway, Sweden, UK, USA, Australia, Canada-(CADTH), Canada-(INESSS), England, France-(HAS), Germany, Scotland, Sweden, UK</t>
  </si>
  <si>
    <t>(Chambers et al., 2015), (Draborg &amp; Andersen, 2006), (Kanavos et al., 2023), (Cerri, Knapp, &amp; Fernandez, 2014b)</t>
  </si>
  <si>
    <t>Disease Characteristics</t>
  </si>
  <si>
    <t>0,06-3,75</t>
  </si>
  <si>
    <t>Australia, CANADA-(CADTH), England, Germany, France-(HAS), Scotland, Sweden</t>
  </si>
  <si>
    <t>3,06-3,63</t>
  </si>
  <si>
    <t>0,03-0,33</t>
  </si>
  <si>
    <t>Sweden, Scotland, France-(HAS), Germany, England, CANADA-(CADTH), Australia</t>
  </si>
  <si>
    <t>0,03-0,29</t>
  </si>
  <si>
    <t>CANADA-(CADTH), Scotland, UK, Sweden, Australia, France-(HAS), Germany, England, Canada-(INESSS)</t>
  </si>
  <si>
    <t>(Mills, 2023), (Kanavos et al., 2023)</t>
  </si>
  <si>
    <t>Countries' Comparison</t>
  </si>
  <si>
    <t>5,68-43,35</t>
  </si>
  <si>
    <t>0,08-35,49</t>
  </si>
  <si>
    <t>Australia, England, Canada-(CADTH), England, France-(HAS), England, Scotland, England, Germany, England</t>
  </si>
  <si>
    <t>Technology Characteristics</t>
  </si>
  <si>
    <t>0,46-10,63</t>
  </si>
  <si>
    <t>Australia, CANADA-(INESSS), CANADA-(CADTH) Scotland, UK, France, Australia, Canada, England, France, Germany, Scotland, Sweden</t>
  </si>
  <si>
    <t>(A. Harris et al., 2016), (Mills, 2023), (Kanavos et al.,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</si>
</sst>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409]* #,##0.00_ ;_-[$$-409]* \-#,##0.00\ ;_-[$$-409]* &quot;-&quot;??_ ;_-@_ "/>
    <numFmt numFmtId="165" formatCode="_-* #,##0.00000_-;\-* #,##0.00000_-;_-* &quot;-&quot;??_-;_-@_-"/>
    <numFmt numFmtId="166" formatCode="0.000"/>
    <numFmt numFmtId="167" formatCode="0.0000"/>
    <numFmt numFmtId="168" formatCode="0.000000"/>
    <numFmt numFmtId="169" formatCode="0.0000000"/>
  </numFmts>
  <fonts count="14">
    <font>
      <sz val="11"/>
      <color theme="1"/>
      <name val="Calibri"/>
      <family val="2"/>
      <charset val="161"/>
      <scheme val="minor"/>
    </font>
    <font>
      <b/>
      <sz val="11"/>
      <color theme="1"/>
      <name val="Calibri"/>
      <family val="2"/>
      <charset val="161"/>
      <scheme val="minor"/>
    </font>
    <font>
      <u/>
      <sz val="11"/>
      <color theme="10"/>
      <name val="Calibri"/>
      <family val="2"/>
      <charset val="161"/>
      <scheme val="minor"/>
    </font>
    <font>
      <b/>
      <sz val="11"/>
      <color rgb="FFFF0000"/>
      <name val="Calibri"/>
      <family val="2"/>
      <charset val="161"/>
      <scheme val="minor"/>
    </font>
    <font>
      <b/>
      <i/>
      <sz val="11"/>
      <color theme="1"/>
      <name val="Calibri"/>
      <family val="2"/>
      <charset val="161"/>
      <scheme val="minor"/>
    </font>
    <font>
      <i/>
      <sz val="11"/>
      <color theme="1"/>
      <name val="Calibri"/>
      <family val="2"/>
      <charset val="161"/>
      <scheme val="minor"/>
    </font>
    <font>
      <sz val="11"/>
      <color theme="1"/>
      <name val="Calibri"/>
      <family val="2"/>
      <scheme val="minor"/>
    </font>
    <font>
      <sz val="11"/>
      <color theme="1"/>
      <name val="Calibri"/>
      <family val="2"/>
      <charset val="161"/>
      <scheme val="minor"/>
    </font>
    <font>
      <sz val="11"/>
      <color rgb="FF000000"/>
      <name val="Calibri"/>
      <family val="2"/>
      <scheme val="minor"/>
    </font>
    <font>
      <sz val="11"/>
      <color rgb="FF000000"/>
      <name val="Aptos Narrow"/>
      <family val="2"/>
    </font>
    <font>
      <sz val="10"/>
      <color rgb="FF000000"/>
      <name val="Times New Roman"/>
      <family val="1"/>
    </font>
    <font>
      <sz val="10"/>
      <color rgb="FF000000"/>
      <name val="Calibri"/>
      <family val="2"/>
      <scheme val="minor"/>
    </font>
    <font>
      <b/>
      <sz val="11"/>
      <color theme="1"/>
      <name val="Calibri"/>
      <family val="2"/>
      <scheme val="minor"/>
    </font>
    <font>
      <sz val="11"/>
      <color rgb="FF000000"/>
      <name val="Calibri"/>
      <family val="2"/>
      <charset val="161"/>
      <scheme val="minor"/>
    </font>
  </fonts>
  <fills count="25">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00B050"/>
        <bgColor indexed="64"/>
      </patternFill>
    </fill>
    <fill>
      <patternFill patternType="solid">
        <fgColor rgb="FF92D050"/>
        <bgColor indexed="64"/>
      </patternFill>
    </fill>
    <fill>
      <patternFill patternType="solid">
        <fgColor rgb="FF7030A0"/>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0070C0"/>
        <bgColor indexed="64"/>
      </patternFill>
    </fill>
    <fill>
      <patternFill patternType="solid">
        <fgColor theme="4"/>
        <bgColor indexed="64"/>
      </patternFill>
    </fill>
    <fill>
      <patternFill patternType="solid">
        <fgColor rgb="FFFF0000"/>
        <bgColor indexed="64"/>
      </patternFill>
    </fill>
    <fill>
      <patternFill patternType="solid">
        <fgColor rgb="FF00B0F0"/>
        <bgColor rgb="FF000000"/>
      </patternFill>
    </fill>
    <fill>
      <patternFill patternType="solid">
        <fgColor theme="6" tint="-0.249977111117893"/>
        <bgColor indexed="64"/>
      </patternFill>
    </fill>
    <fill>
      <patternFill patternType="solid">
        <fgColor theme="0"/>
        <bgColor indexed="64"/>
      </patternFill>
    </fill>
    <fill>
      <patternFill patternType="solid">
        <fgColor theme="1"/>
        <bgColor indexed="64"/>
      </patternFill>
    </fill>
    <fill>
      <patternFill patternType="solid">
        <fgColor rgb="FFFFFF00"/>
        <bgColor rgb="FF000000"/>
      </patternFill>
    </fill>
    <fill>
      <patternFill patternType="solid">
        <fgColor rgb="FF92D050"/>
        <bgColor rgb="FF000000"/>
      </patternFill>
    </fill>
    <fill>
      <patternFill patternType="solid">
        <fgColor theme="7" tint="0.39997558519241921"/>
        <bgColor indexed="64"/>
      </patternFill>
    </fill>
    <fill>
      <patternFill patternType="solid">
        <fgColor theme="7" tint="0.39997558519241921"/>
        <bgColor rgb="FF000000"/>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rgb="FF000000"/>
      </left>
      <right/>
      <top style="thin">
        <color rgb="FF000000"/>
      </top>
      <bottom style="thin">
        <color rgb="FF000000"/>
      </bottom>
      <diagonal/>
    </border>
    <border>
      <left style="thin">
        <color indexed="64"/>
      </left>
      <right/>
      <top style="thin">
        <color indexed="64"/>
      </top>
      <bottom style="thin">
        <color indexed="64"/>
      </bottom>
      <diagonal/>
    </border>
    <border>
      <left style="thin">
        <color rgb="FF000000"/>
      </left>
      <right/>
      <top/>
      <bottom style="thin">
        <color rgb="FF000000"/>
      </bottom>
      <diagonal/>
    </border>
    <border>
      <left style="thin">
        <color rgb="FF000000"/>
      </left>
      <right/>
      <top style="thin">
        <color rgb="FF000000"/>
      </top>
      <bottom/>
      <diagonal/>
    </border>
    <border>
      <left/>
      <right style="thin">
        <color indexed="64"/>
      </right>
      <top/>
      <bottom style="thin">
        <color indexed="64"/>
      </bottom>
      <diagonal/>
    </border>
    <border>
      <left style="thin">
        <color indexed="64"/>
      </left>
      <right/>
      <top/>
      <bottom/>
      <diagonal/>
    </border>
  </borders>
  <cellStyleXfs count="3">
    <xf numFmtId="0" fontId="0" fillId="0" borderId="0"/>
    <xf numFmtId="0" fontId="2" fillId="0" borderId="0" applyNumberFormat="0" applyFill="0" applyBorder="0" applyAlignment="0" applyProtection="0"/>
    <xf numFmtId="43" fontId="7" fillId="0" borderId="0" applyFont="0" applyFill="0" applyBorder="0" applyAlignment="0" applyProtection="0"/>
  </cellStyleXfs>
  <cellXfs count="290">
    <xf numFmtId="0" fontId="0" fillId="0" borderId="0" xfId="0"/>
    <xf numFmtId="0" fontId="0" fillId="0" borderId="0" xfId="0" applyAlignment="1">
      <alignment horizontal="center" vertical="center" wrapText="1"/>
    </xf>
    <xf numFmtId="0" fontId="1" fillId="0" borderId="0" xfId="0" applyFont="1" applyAlignment="1">
      <alignment horizontal="center" vertical="center" wrapText="1"/>
    </xf>
    <xf numFmtId="0" fontId="4" fillId="0" borderId="0" xfId="0" applyFont="1" applyAlignment="1">
      <alignment horizontal="center" vertical="center" wrapText="1"/>
    </xf>
    <xf numFmtId="14" fontId="0" fillId="0" borderId="0" xfId="0" applyNumberFormat="1" applyAlignment="1">
      <alignment horizontal="center" vertical="center" wrapText="1"/>
    </xf>
    <xf numFmtId="0" fontId="2" fillId="0" borderId="0" xfId="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vertical="center" wrapText="1"/>
    </xf>
    <xf numFmtId="0" fontId="2" fillId="0" borderId="0" xfId="1" applyAlignment="1">
      <alignment vertical="center" wrapText="1"/>
    </xf>
    <xf numFmtId="0" fontId="0" fillId="0" borderId="0" xfId="0" applyAlignment="1">
      <alignment horizontal="center"/>
    </xf>
    <xf numFmtId="14" fontId="0" fillId="0" borderId="0" xfId="0" applyNumberFormat="1" applyAlignment="1">
      <alignment vertical="center" wrapText="1"/>
    </xf>
    <xf numFmtId="0" fontId="6" fillId="0" borderId="0" xfId="0" applyFont="1" applyAlignment="1">
      <alignment vertical="center" wrapText="1"/>
    </xf>
    <xf numFmtId="0" fontId="2" fillId="0" borderId="0" xfId="1"/>
    <xf numFmtId="0" fontId="2" fillId="0" borderId="0" xfId="1" applyAlignment="1">
      <alignment wrapText="1"/>
    </xf>
    <xf numFmtId="0" fontId="0" fillId="0" borderId="0" xfId="0" applyAlignment="1">
      <alignment horizontal="left" vertical="center" wrapText="1"/>
    </xf>
    <xf numFmtId="0" fontId="0" fillId="0" borderId="0" xfId="0" applyAlignment="1">
      <alignment horizontal="left" wrapText="1"/>
    </xf>
    <xf numFmtId="0" fontId="0" fillId="3" borderId="0" xfId="0" applyFill="1" applyAlignment="1">
      <alignment wrapText="1"/>
    </xf>
    <xf numFmtId="0" fontId="0" fillId="4" borderId="0" xfId="0" applyFill="1" applyAlignment="1">
      <alignment horizontal="center" vertical="center" wrapText="1"/>
    </xf>
    <xf numFmtId="0" fontId="0" fillId="2" borderId="0" xfId="0" applyFill="1" applyAlignment="1">
      <alignment vertical="center" wrapText="1"/>
    </xf>
    <xf numFmtId="0" fontId="0" fillId="2" borderId="0" xfId="0" applyFill="1" applyAlignment="1">
      <alignment wrapText="1"/>
    </xf>
    <xf numFmtId="0" fontId="0" fillId="5" borderId="0" xfId="0" applyFill="1" applyAlignment="1">
      <alignment vertical="center" wrapText="1"/>
    </xf>
    <xf numFmtId="0" fontId="0" fillId="5" borderId="0" xfId="0" applyFill="1" applyAlignment="1">
      <alignment wrapText="1"/>
    </xf>
    <xf numFmtId="0" fontId="0" fillId="5" borderId="0" xfId="0" applyFill="1" applyAlignment="1">
      <alignment horizontal="center" vertical="center" wrapText="1"/>
    </xf>
    <xf numFmtId="0" fontId="5" fillId="0" borderId="0" xfId="0" applyFont="1" applyAlignment="1">
      <alignment horizontal="center" vertical="center" wrapText="1"/>
    </xf>
    <xf numFmtId="0" fontId="0" fillId="6" borderId="0" xfId="0" applyFill="1" applyAlignment="1">
      <alignment wrapText="1"/>
    </xf>
    <xf numFmtId="0" fontId="0" fillId="4" borderId="0" xfId="0" applyFill="1" applyAlignment="1">
      <alignment vertical="center" wrapText="1"/>
    </xf>
    <xf numFmtId="0" fontId="0" fillId="5" borderId="0" xfId="0" applyFill="1" applyAlignment="1">
      <alignment vertical="center"/>
    </xf>
    <xf numFmtId="0" fontId="0" fillId="5" borderId="0" xfId="0" applyFill="1" applyAlignment="1">
      <alignment horizontal="center" vertical="center"/>
    </xf>
    <xf numFmtId="0" fontId="0" fillId="7" borderId="0" xfId="0" applyFill="1" applyAlignment="1">
      <alignment horizontal="center" vertical="center" wrapText="1"/>
    </xf>
    <xf numFmtId="14" fontId="0" fillId="7" borderId="0" xfId="0" applyNumberFormat="1"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vertical="center" wrapText="1"/>
    </xf>
    <xf numFmtId="0" fontId="0" fillId="7" borderId="0" xfId="0" applyFill="1" applyAlignment="1">
      <alignment wrapText="1"/>
    </xf>
    <xf numFmtId="0" fontId="0" fillId="7" borderId="0" xfId="0" applyFill="1"/>
    <xf numFmtId="0" fontId="2" fillId="7" borderId="0" xfId="1" applyFill="1" applyAlignment="1">
      <alignment horizontal="center" vertical="center" wrapText="1"/>
    </xf>
    <xf numFmtId="0" fontId="0" fillId="0" borderId="0" xfId="0" applyAlignment="1">
      <alignment vertical="center"/>
    </xf>
    <xf numFmtId="0" fontId="0" fillId="5" borderId="0" xfId="0" applyFill="1"/>
    <xf numFmtId="0" fontId="1" fillId="0" borderId="0" xfId="0" applyFont="1" applyAlignment="1">
      <alignment horizontal="center" vertical="center"/>
    </xf>
    <xf numFmtId="0" fontId="1" fillId="8" borderId="1" xfId="0" applyFont="1" applyFill="1" applyBorder="1" applyAlignment="1">
      <alignment horizontal="center" vertical="center"/>
    </xf>
    <xf numFmtId="0" fontId="1" fillId="8" borderId="1" xfId="0" applyFont="1" applyFill="1" applyBorder="1" applyAlignment="1">
      <alignment horizontal="center" vertical="center" wrapText="1"/>
    </xf>
    <xf numFmtId="0" fontId="4" fillId="8" borderId="1" xfId="0" applyFont="1" applyFill="1" applyBorder="1" applyAlignment="1">
      <alignment horizontal="center" vertical="center" wrapText="1"/>
    </xf>
    <xf numFmtId="14" fontId="0" fillId="0" borderId="0" xfId="0" applyNumberFormat="1" applyAlignment="1">
      <alignment wrapText="1"/>
    </xf>
    <xf numFmtId="0" fontId="6" fillId="0" borderId="1" xfId="0" applyFont="1" applyBorder="1" applyAlignment="1">
      <alignment horizontal="center" vertical="center" wrapText="1"/>
    </xf>
    <xf numFmtId="0" fontId="9" fillId="0" borderId="1" xfId="0" applyFont="1" applyBorder="1" applyAlignment="1">
      <alignment horizontal="center" vertical="center" wrapText="1"/>
    </xf>
    <xf numFmtId="0" fontId="9" fillId="2" borderId="1" xfId="0" applyFont="1" applyFill="1" applyBorder="1" applyAlignment="1">
      <alignment horizontal="center" vertical="center" wrapText="1"/>
    </xf>
    <xf numFmtId="0" fontId="0" fillId="0" borderId="1" xfId="0" applyBorder="1" applyAlignment="1">
      <alignment horizontal="center" vertical="center"/>
    </xf>
    <xf numFmtId="0" fontId="8" fillId="0" borderId="1" xfId="0" applyFont="1" applyBorder="1" applyAlignment="1">
      <alignment horizontal="center" vertical="center" wrapText="1"/>
    </xf>
    <xf numFmtId="2" fontId="0" fillId="0" borderId="1" xfId="2" applyNumberFormat="1" applyFont="1" applyBorder="1" applyAlignment="1">
      <alignment horizontal="center" vertical="center"/>
    </xf>
    <xf numFmtId="0" fontId="12" fillId="9" borderId="1" xfId="0" applyFont="1" applyFill="1" applyBorder="1" applyAlignment="1">
      <alignment horizontal="center" vertical="center" wrapText="1"/>
    </xf>
    <xf numFmtId="0" fontId="0" fillId="6" borderId="1" xfId="0" applyFill="1" applyBorder="1" applyAlignment="1">
      <alignment horizontal="center" vertical="center" wrapText="1"/>
    </xf>
    <xf numFmtId="0" fontId="0" fillId="0" borderId="1" xfId="0" applyBorder="1" applyAlignment="1">
      <alignment horizontal="center" vertical="center" wrapText="1"/>
    </xf>
    <xf numFmtId="0" fontId="9" fillId="6" borderId="1" xfId="0" applyFont="1" applyFill="1" applyBorder="1" applyAlignment="1">
      <alignment horizontal="center" vertical="center" wrapText="1"/>
    </xf>
    <xf numFmtId="0" fontId="0" fillId="0" borderId="1" xfId="0" applyBorder="1" applyAlignment="1">
      <alignment vertical="center" wrapText="1"/>
    </xf>
    <xf numFmtId="0" fontId="0" fillId="0" borderId="2" xfId="0" applyBorder="1" applyAlignment="1">
      <alignment horizontal="center" vertical="center" wrapText="1"/>
    </xf>
    <xf numFmtId="0" fontId="9" fillId="0" borderId="3" xfId="0" applyFont="1" applyBorder="1" applyAlignment="1">
      <alignment horizontal="center" vertical="center" wrapText="1"/>
    </xf>
    <xf numFmtId="0" fontId="0" fillId="0" borderId="0" xfId="0" applyAlignment="1">
      <alignment horizontal="center" wrapText="1"/>
    </xf>
    <xf numFmtId="0" fontId="12" fillId="9" borderId="4" xfId="0" applyFont="1" applyFill="1" applyBorder="1" applyAlignment="1">
      <alignment horizontal="center" vertical="center" wrapText="1"/>
    </xf>
    <xf numFmtId="164" fontId="0" fillId="0" borderId="0" xfId="0" applyNumberFormat="1"/>
    <xf numFmtId="43" fontId="0" fillId="0" borderId="0" xfId="2" applyFont="1"/>
    <xf numFmtId="43" fontId="0" fillId="0" borderId="0" xfId="2" applyFont="1" applyAlignment="1">
      <alignment horizontal="center" vertical="center"/>
    </xf>
    <xf numFmtId="43" fontId="0" fillId="0" borderId="0" xfId="2" applyFont="1" applyAlignment="1">
      <alignment wrapText="1"/>
    </xf>
    <xf numFmtId="43" fontId="8" fillId="10" borderId="0" xfId="2" applyFont="1" applyFill="1" applyBorder="1" applyAlignment="1">
      <alignment horizontal="center" vertical="center"/>
    </xf>
    <xf numFmtId="164" fontId="0" fillId="0" borderId="0" xfId="0" applyNumberFormat="1" applyAlignment="1">
      <alignment horizontal="center" vertical="center"/>
    </xf>
    <xf numFmtId="43" fontId="0" fillId="11" borderId="0" xfId="2" applyFont="1" applyFill="1" applyBorder="1" applyAlignment="1">
      <alignment horizontal="center" vertical="center" wrapText="1"/>
    </xf>
    <xf numFmtId="43" fontId="8" fillId="0" borderId="0" xfId="2" applyFont="1" applyBorder="1" applyAlignment="1">
      <alignment horizontal="center" vertical="center" wrapText="1"/>
    </xf>
    <xf numFmtId="43" fontId="8" fillId="0" borderId="0" xfId="2" applyFont="1" applyBorder="1" applyAlignment="1">
      <alignment vertical="center" wrapText="1"/>
    </xf>
    <xf numFmtId="43" fontId="9" fillId="0" borderId="0" xfId="2" applyFont="1" applyBorder="1" applyAlignment="1">
      <alignment horizontal="center" vertical="center" wrapText="1"/>
    </xf>
    <xf numFmtId="43" fontId="8" fillId="12" borderId="0" xfId="2" applyFont="1" applyFill="1" applyBorder="1" applyAlignment="1">
      <alignment horizontal="center" vertical="center" wrapText="1"/>
    </xf>
    <xf numFmtId="43" fontId="9" fillId="12" borderId="0" xfId="2" applyFont="1" applyFill="1" applyBorder="1" applyAlignment="1">
      <alignment horizontal="center" vertical="center" wrapText="1"/>
    </xf>
    <xf numFmtId="43" fontId="9" fillId="13" borderId="0" xfId="2" applyFont="1" applyFill="1" applyBorder="1" applyAlignment="1">
      <alignment horizontal="center" vertical="center" wrapText="1"/>
    </xf>
    <xf numFmtId="43" fontId="8" fillId="11" borderId="0" xfId="2" applyFont="1" applyFill="1" applyBorder="1" applyAlignment="1">
      <alignment horizontal="center" vertical="center" wrapText="1"/>
    </xf>
    <xf numFmtId="43" fontId="9" fillId="11" borderId="0" xfId="2" applyFont="1" applyFill="1" applyBorder="1" applyAlignment="1">
      <alignment horizontal="center" vertical="center" wrapText="1"/>
    </xf>
    <xf numFmtId="0" fontId="0" fillId="0" borderId="1" xfId="0" applyBorder="1" applyAlignment="1">
      <alignment wrapText="1"/>
    </xf>
    <xf numFmtId="43" fontId="8" fillId="15" borderId="0" xfId="2" applyFont="1" applyFill="1" applyBorder="1" applyAlignment="1">
      <alignment horizontal="center" vertical="center" wrapText="1"/>
    </xf>
    <xf numFmtId="164" fontId="0" fillId="15" borderId="0" xfId="0" applyNumberFormat="1" applyFill="1" applyAlignment="1">
      <alignment horizontal="center" vertical="center"/>
    </xf>
    <xf numFmtId="165" fontId="0" fillId="15" borderId="0" xfId="2" applyNumberFormat="1" applyFont="1" applyFill="1" applyAlignment="1">
      <alignment horizontal="center" vertical="center"/>
    </xf>
    <xf numFmtId="0" fontId="0" fillId="15" borderId="0" xfId="0" applyFill="1" applyAlignment="1">
      <alignment horizontal="center" vertical="center"/>
    </xf>
    <xf numFmtId="43" fontId="10" fillId="14" borderId="0" xfId="2" applyFont="1" applyFill="1" applyBorder="1" applyAlignment="1">
      <alignment horizontal="center" vertical="center" wrapText="1"/>
    </xf>
    <xf numFmtId="0" fontId="0" fillId="14" borderId="0" xfId="0" applyFill="1"/>
    <xf numFmtId="164" fontId="0" fillId="14" borderId="0" xfId="0" applyNumberFormat="1" applyFill="1" applyAlignment="1">
      <alignment horizontal="center" vertical="center"/>
    </xf>
    <xf numFmtId="165" fontId="0" fillId="14" borderId="0" xfId="2" applyNumberFormat="1" applyFont="1" applyFill="1" applyAlignment="1">
      <alignment horizontal="center" vertical="center"/>
    </xf>
    <xf numFmtId="0" fontId="0" fillId="14" borderId="0" xfId="0" applyFill="1" applyAlignment="1">
      <alignment horizontal="center" vertical="center"/>
    </xf>
    <xf numFmtId="43" fontId="8" fillId="14" borderId="0" xfId="2" applyFont="1" applyFill="1" applyBorder="1" applyAlignment="1">
      <alignment horizontal="center" vertical="center"/>
    </xf>
    <xf numFmtId="43" fontId="0" fillId="14" borderId="0" xfId="2" applyFont="1" applyFill="1" applyBorder="1" applyAlignment="1">
      <alignment vertical="center" wrapText="1"/>
    </xf>
    <xf numFmtId="0" fontId="0" fillId="14" borderId="0" xfId="0" applyFill="1" applyAlignment="1">
      <alignment horizontal="center" vertical="center" wrapText="1"/>
    </xf>
    <xf numFmtId="43" fontId="8" fillId="14" borderId="0" xfId="2" applyFont="1" applyFill="1" applyBorder="1" applyAlignment="1">
      <alignment horizontal="center" vertical="center" wrapText="1"/>
    </xf>
    <xf numFmtId="2" fontId="0" fillId="0" borderId="0" xfId="0" applyNumberFormat="1"/>
    <xf numFmtId="169" fontId="0" fillId="0" borderId="0" xfId="0" applyNumberFormat="1"/>
    <xf numFmtId="168" fontId="0" fillId="0" borderId="0" xfId="0" applyNumberFormat="1"/>
    <xf numFmtId="167" fontId="0" fillId="0" borderId="0" xfId="0" applyNumberFormat="1"/>
    <xf numFmtId="0" fontId="12" fillId="9" borderId="0" xfId="0" applyFont="1" applyFill="1" applyAlignment="1">
      <alignment horizontal="center" vertical="center" wrapText="1"/>
    </xf>
    <xf numFmtId="0" fontId="8" fillId="3" borderId="1" xfId="0" applyFont="1" applyFill="1" applyBorder="1" applyAlignment="1">
      <alignment horizontal="center" vertical="center" wrapText="1"/>
    </xf>
    <xf numFmtId="0" fontId="0" fillId="3" borderId="1" xfId="0" applyFill="1" applyBorder="1" applyAlignment="1">
      <alignment horizontal="center" vertical="center"/>
    </xf>
    <xf numFmtId="0" fontId="0" fillId="3" borderId="1" xfId="2" applyNumberFormat="1" applyFont="1" applyFill="1" applyBorder="1" applyAlignment="1">
      <alignment horizontal="center" vertical="center"/>
    </xf>
    <xf numFmtId="2" fontId="0" fillId="3" borderId="1" xfId="2" applyNumberFormat="1" applyFont="1" applyFill="1" applyBorder="1" applyAlignment="1">
      <alignment horizontal="center" vertical="center"/>
    </xf>
    <xf numFmtId="0" fontId="6" fillId="3" borderId="1" xfId="0" applyFont="1" applyFill="1" applyBorder="1" applyAlignment="1">
      <alignment horizontal="center" vertical="center" wrapText="1"/>
    </xf>
    <xf numFmtId="0" fontId="0" fillId="3" borderId="0" xfId="0" applyFill="1"/>
    <xf numFmtId="0" fontId="8" fillId="3" borderId="3"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3" borderId="1" xfId="0" applyFont="1" applyFill="1" applyBorder="1" applyAlignment="1">
      <alignment horizontal="center" vertical="center" wrapText="1"/>
    </xf>
    <xf numFmtId="0" fontId="6" fillId="3" borderId="3" xfId="0" applyFont="1" applyFill="1" applyBorder="1" applyAlignment="1">
      <alignment horizontal="center" vertical="center" wrapText="1"/>
    </xf>
    <xf numFmtId="0" fontId="0" fillId="3" borderId="0" xfId="0" applyFill="1" applyAlignment="1">
      <alignment vertical="center" wrapText="1"/>
    </xf>
    <xf numFmtId="0" fontId="0" fillId="3" borderId="0" xfId="0" applyFill="1" applyAlignment="1">
      <alignment horizontal="center" vertical="center"/>
    </xf>
    <xf numFmtId="0" fontId="13" fillId="17" borderId="0" xfId="0" applyFont="1" applyFill="1" applyAlignment="1">
      <alignment vertical="center" wrapText="1"/>
    </xf>
    <xf numFmtId="0" fontId="11"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0" xfId="0" applyFill="1" applyAlignment="1">
      <alignment horizontal="center" vertical="center" wrapText="1"/>
    </xf>
    <xf numFmtId="0" fontId="13" fillId="17" borderId="1" xfId="0" applyFont="1" applyFill="1" applyBorder="1" applyAlignment="1">
      <alignment vertical="center" wrapText="1"/>
    </xf>
    <xf numFmtId="0" fontId="9" fillId="3" borderId="1" xfId="0" applyFont="1" applyFill="1" applyBorder="1" applyAlignment="1">
      <alignment horizontal="center" vertical="center"/>
    </xf>
    <xf numFmtId="0" fontId="0" fillId="3" borderId="1" xfId="0" applyFill="1" applyBorder="1" applyAlignment="1">
      <alignment vertical="center" wrapText="1"/>
    </xf>
    <xf numFmtId="0" fontId="0" fillId="3" borderId="9" xfId="0" applyFill="1" applyBorder="1" applyAlignment="1">
      <alignment horizontal="center" vertical="center" wrapText="1"/>
    </xf>
    <xf numFmtId="0" fontId="6" fillId="0" borderId="9" xfId="0" applyFont="1" applyBorder="1" applyAlignment="1">
      <alignment horizontal="center" vertical="center" wrapText="1"/>
    </xf>
    <xf numFmtId="0" fontId="6" fillId="3" borderId="2" xfId="0" applyFont="1" applyFill="1" applyBorder="1" applyAlignment="1">
      <alignment horizontal="center" vertical="center" wrapText="1"/>
    </xf>
    <xf numFmtId="0" fontId="0" fillId="3" borderId="2" xfId="0" applyFill="1" applyBorder="1" applyAlignment="1">
      <alignment horizontal="center" vertical="center"/>
    </xf>
    <xf numFmtId="2" fontId="0" fillId="3" borderId="2" xfId="2" applyNumberFormat="1" applyFont="1" applyFill="1" applyBorder="1" applyAlignment="1">
      <alignment horizontal="center" vertical="center"/>
    </xf>
    <xf numFmtId="0" fontId="6" fillId="3" borderId="2" xfId="0" applyFont="1" applyFill="1" applyBorder="1" applyAlignment="1">
      <alignment vertical="center" wrapText="1"/>
    </xf>
    <xf numFmtId="0" fontId="8" fillId="3" borderId="2" xfId="0" applyFont="1" applyFill="1" applyBorder="1" applyAlignment="1">
      <alignment vertical="center" wrapText="1"/>
    </xf>
    <xf numFmtId="0" fontId="6" fillId="3" borderId="1" xfId="0" applyFont="1" applyFill="1" applyBorder="1" applyAlignment="1">
      <alignment vertical="center" wrapText="1"/>
    </xf>
    <xf numFmtId="0" fontId="8" fillId="3" borderId="1" xfId="0" applyFont="1" applyFill="1" applyBorder="1" applyAlignment="1">
      <alignment vertical="center" wrapText="1"/>
    </xf>
    <xf numFmtId="0" fontId="6" fillId="3" borderId="7" xfId="0" applyFont="1" applyFill="1" applyBorder="1" applyAlignment="1">
      <alignment horizontal="center" vertical="center" wrapText="1"/>
    </xf>
    <xf numFmtId="0" fontId="0" fillId="3" borderId="7" xfId="0" applyFill="1" applyBorder="1" applyAlignment="1">
      <alignment horizontal="center" vertical="center"/>
    </xf>
    <xf numFmtId="2" fontId="0" fillId="3" borderId="7" xfId="2" applyNumberFormat="1" applyFont="1" applyFill="1" applyBorder="1" applyAlignment="1">
      <alignment horizontal="center" vertical="center"/>
    </xf>
    <xf numFmtId="0" fontId="6" fillId="3" borderId="7" xfId="0" applyFont="1" applyFill="1" applyBorder="1" applyAlignment="1">
      <alignment vertical="center" wrapText="1"/>
    </xf>
    <xf numFmtId="0" fontId="8" fillId="3" borderId="7" xfId="0" applyFont="1" applyFill="1" applyBorder="1" applyAlignment="1">
      <alignment vertical="center" wrapText="1"/>
    </xf>
    <xf numFmtId="0" fontId="13" fillId="17" borderId="1" xfId="0" applyFont="1" applyFill="1" applyBorder="1" applyAlignment="1">
      <alignment horizontal="center" vertical="center" wrapText="1"/>
    </xf>
    <xf numFmtId="2" fontId="0" fillId="3" borderId="1" xfId="2" applyNumberFormat="1" applyFont="1" applyFill="1" applyBorder="1" applyAlignment="1">
      <alignment horizontal="center" vertical="center" wrapText="1"/>
    </xf>
    <xf numFmtId="0" fontId="8" fillId="3" borderId="2" xfId="0" applyFont="1" applyFill="1" applyBorder="1" applyAlignment="1">
      <alignment horizontal="center" vertical="center" wrapText="1"/>
    </xf>
    <xf numFmtId="0" fontId="0" fillId="3" borderId="1" xfId="0" applyFill="1" applyBorder="1"/>
    <xf numFmtId="0" fontId="0" fillId="3" borderId="1" xfId="0" applyFill="1" applyBorder="1" applyAlignment="1">
      <alignment horizontal="center"/>
    </xf>
    <xf numFmtId="0" fontId="0" fillId="3" borderId="0" xfId="0" applyFill="1" applyAlignment="1">
      <alignment vertical="center"/>
    </xf>
    <xf numFmtId="0" fontId="12" fillId="18" borderId="1"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0" fillId="0" borderId="8" xfId="0" applyBorder="1" applyAlignment="1">
      <alignment vertical="center" wrapText="1"/>
    </xf>
    <xf numFmtId="0" fontId="0" fillId="3" borderId="8" xfId="0" applyFill="1" applyBorder="1" applyAlignment="1">
      <alignment vertical="center" wrapText="1"/>
    </xf>
    <xf numFmtId="0" fontId="0" fillId="3" borderId="4" xfId="0" applyFill="1" applyBorder="1" applyAlignment="1">
      <alignment vertical="center" wrapText="1"/>
    </xf>
    <xf numFmtId="0" fontId="13" fillId="17" borderId="7" xfId="0" applyFont="1" applyFill="1" applyBorder="1" applyAlignment="1">
      <alignment vertical="center" wrapText="1"/>
    </xf>
    <xf numFmtId="0" fontId="8" fillId="3" borderId="6"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12" fillId="9" borderId="11" xfId="0" applyFont="1" applyFill="1" applyBorder="1" applyAlignment="1">
      <alignment vertical="center" wrapText="1"/>
    </xf>
    <xf numFmtId="0" fontId="0" fillId="0" borderId="9" xfId="0" applyBorder="1" applyAlignment="1">
      <alignment vertical="center" wrapText="1"/>
    </xf>
    <xf numFmtId="0" fontId="9" fillId="3" borderId="1" xfId="0" applyFont="1" applyFill="1" applyBorder="1" applyAlignment="1">
      <alignment vertical="center" wrapText="1"/>
    </xf>
    <xf numFmtId="0" fontId="0" fillId="3" borderId="1" xfId="0" applyFill="1" applyBorder="1" applyAlignment="1">
      <alignment vertical="center"/>
    </xf>
    <xf numFmtId="2" fontId="0" fillId="3" borderId="1" xfId="2" applyNumberFormat="1" applyFont="1" applyFill="1" applyBorder="1" applyAlignment="1">
      <alignment vertical="center"/>
    </xf>
    <xf numFmtId="0" fontId="0" fillId="3" borderId="10" xfId="0" applyFill="1" applyBorder="1" applyAlignment="1">
      <alignment vertical="center" wrapText="1"/>
    </xf>
    <xf numFmtId="0" fontId="0" fillId="3" borderId="8" xfId="0" applyFill="1" applyBorder="1" applyAlignment="1">
      <alignment horizontal="center" vertical="center" wrapText="1"/>
    </xf>
    <xf numFmtId="0" fontId="6" fillId="3" borderId="1" xfId="0" applyFont="1" applyFill="1" applyBorder="1" applyAlignment="1">
      <alignment horizontal="center" vertical="center"/>
    </xf>
    <xf numFmtId="0" fontId="6" fillId="3" borderId="8" xfId="0" applyFont="1" applyFill="1" applyBorder="1" applyAlignment="1">
      <alignment horizontal="center" vertical="center" wrapText="1"/>
    </xf>
    <xf numFmtId="0" fontId="8" fillId="17" borderId="7" xfId="0" applyFont="1" applyFill="1" applyBorder="1" applyAlignment="1">
      <alignment horizontal="center" vertical="center" wrapText="1"/>
    </xf>
    <xf numFmtId="0" fontId="13" fillId="17" borderId="0" xfId="0" applyFont="1" applyFill="1" applyAlignment="1">
      <alignment horizontal="center" vertical="center" wrapText="1"/>
    </xf>
    <xf numFmtId="0" fontId="0" fillId="3" borderId="1" xfId="0" applyFill="1" applyBorder="1" applyAlignment="1">
      <alignment horizontal="center" wrapText="1"/>
    </xf>
    <xf numFmtId="0" fontId="0" fillId="3" borderId="9" xfId="0" applyFill="1" applyBorder="1" applyAlignment="1">
      <alignment horizontal="center" wrapText="1"/>
    </xf>
    <xf numFmtId="0" fontId="0" fillId="3" borderId="9" xfId="0" applyFill="1" applyBorder="1" applyAlignment="1">
      <alignment horizontal="center" vertical="center"/>
    </xf>
    <xf numFmtId="0" fontId="10" fillId="3" borderId="1"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0" fillId="3" borderId="1" xfId="0" applyFill="1" applyBorder="1" applyAlignment="1">
      <alignment wrapText="1"/>
    </xf>
    <xf numFmtId="0" fontId="8" fillId="3" borderId="1" xfId="0" applyFont="1" applyFill="1" applyBorder="1" applyAlignment="1">
      <alignment horizontal="center" vertical="center"/>
    </xf>
    <xf numFmtId="0" fontId="0" fillId="3" borderId="10" xfId="0" applyFill="1" applyBorder="1" applyAlignment="1">
      <alignment horizontal="center" vertical="center" wrapText="1"/>
    </xf>
    <xf numFmtId="0" fontId="12" fillId="9" borderId="7" xfId="0" applyFont="1" applyFill="1" applyBorder="1" applyAlignment="1">
      <alignment vertical="center" wrapText="1"/>
    </xf>
    <xf numFmtId="0" fontId="12" fillId="9" borderId="6" xfId="0" applyFont="1" applyFill="1" applyBorder="1" applyAlignment="1">
      <alignment horizontal="center" vertical="center" wrapText="1"/>
    </xf>
    <xf numFmtId="0" fontId="12" fillId="9" borderId="7" xfId="0" applyFont="1" applyFill="1" applyBorder="1" applyAlignment="1">
      <alignment horizontal="center" vertical="center" wrapText="1"/>
    </xf>
    <xf numFmtId="0" fontId="6" fillId="3" borderId="1" xfId="0" applyFont="1" applyFill="1" applyBorder="1" applyAlignment="1">
      <alignment wrapText="1"/>
    </xf>
    <xf numFmtId="0" fontId="9" fillId="3" borderId="7" xfId="0" applyFont="1" applyFill="1" applyBorder="1" applyAlignment="1">
      <alignment horizontal="center" vertical="center" wrapText="1"/>
    </xf>
    <xf numFmtId="167" fontId="0" fillId="3" borderId="1" xfId="2" applyNumberFormat="1" applyFont="1" applyFill="1" applyBorder="1" applyAlignment="1">
      <alignment horizontal="center" vertical="center"/>
    </xf>
    <xf numFmtId="0" fontId="8" fillId="0" borderId="0" xfId="0" applyFont="1" applyAlignment="1">
      <alignment horizontal="center" vertical="center" wrapText="1"/>
    </xf>
    <xf numFmtId="0" fontId="9" fillId="3" borderId="3" xfId="0" applyFont="1" applyFill="1" applyBorder="1" applyAlignment="1">
      <alignment horizontal="center" vertical="center" wrapText="1"/>
    </xf>
    <xf numFmtId="0" fontId="13" fillId="3" borderId="1" xfId="0" applyFont="1" applyFill="1" applyBorder="1" applyAlignment="1">
      <alignment horizontal="center" vertical="center"/>
    </xf>
    <xf numFmtId="0" fontId="9" fillId="3" borderId="9" xfId="0" applyFont="1" applyFill="1" applyBorder="1" applyAlignment="1">
      <alignment vertical="center" wrapText="1"/>
    </xf>
    <xf numFmtId="0" fontId="6" fillId="3" borderId="9" xfId="0" applyFont="1" applyFill="1" applyBorder="1" applyAlignment="1">
      <alignment vertical="center" wrapText="1"/>
    </xf>
    <xf numFmtId="0" fontId="0" fillId="3" borderId="1" xfId="0" applyFill="1" applyBorder="1" applyAlignment="1">
      <alignment horizontal="left" vertical="center" wrapText="1"/>
    </xf>
    <xf numFmtId="0" fontId="0" fillId="3" borderId="1" xfId="0" applyFill="1" applyBorder="1" applyAlignment="1">
      <alignment horizontal="left" vertical="center"/>
    </xf>
    <xf numFmtId="0" fontId="6" fillId="3" borderId="1" xfId="0" applyFont="1" applyFill="1" applyBorder="1" applyAlignment="1">
      <alignment horizontal="left" vertical="center" wrapText="1"/>
    </xf>
    <xf numFmtId="2" fontId="0" fillId="3" borderId="1" xfId="2" applyNumberFormat="1" applyFont="1" applyFill="1" applyBorder="1" applyAlignment="1">
      <alignment horizontal="left" vertical="center"/>
    </xf>
    <xf numFmtId="0" fontId="8" fillId="3" borderId="1" xfId="0" applyFont="1" applyFill="1" applyBorder="1" applyAlignment="1">
      <alignment horizontal="left" vertical="center" wrapText="1"/>
    </xf>
    <xf numFmtId="166" fontId="0" fillId="3" borderId="1" xfId="2" applyNumberFormat="1" applyFont="1" applyFill="1" applyBorder="1" applyAlignment="1">
      <alignment horizontal="left" vertical="center"/>
    </xf>
    <xf numFmtId="0" fontId="6" fillId="3" borderId="5" xfId="0" applyFont="1" applyFill="1" applyBorder="1" applyAlignment="1">
      <alignment horizontal="left" vertical="center" wrapText="1"/>
    </xf>
    <xf numFmtId="0" fontId="9" fillId="3" borderId="1" xfId="0" applyFont="1" applyFill="1" applyBorder="1" applyAlignment="1">
      <alignment horizontal="left" vertical="center" wrapText="1"/>
    </xf>
    <xf numFmtId="0" fontId="6" fillId="3" borderId="13" xfId="0" applyFont="1" applyFill="1" applyBorder="1" applyAlignment="1">
      <alignment horizontal="left" vertical="center" wrapText="1"/>
    </xf>
    <xf numFmtId="0" fontId="6" fillId="3" borderId="9" xfId="0" applyFont="1" applyFill="1" applyBorder="1" applyAlignment="1">
      <alignment horizontal="left" vertical="center" wrapText="1"/>
    </xf>
    <xf numFmtId="0" fontId="0" fillId="3" borderId="0" xfId="0" applyFill="1" applyAlignment="1">
      <alignment horizontal="left" vertical="center" wrapText="1"/>
    </xf>
    <xf numFmtId="2" fontId="0" fillId="3" borderId="1" xfId="2" applyNumberFormat="1" applyFont="1" applyFill="1" applyBorder="1" applyAlignment="1">
      <alignment horizontal="left" vertical="center" wrapText="1"/>
    </xf>
    <xf numFmtId="0" fontId="9" fillId="3" borderId="9" xfId="0" applyFont="1" applyFill="1" applyBorder="1" applyAlignment="1">
      <alignment horizontal="left" vertical="center" wrapText="1"/>
    </xf>
    <xf numFmtId="0" fontId="13" fillId="17" borderId="1" xfId="0" applyFont="1" applyFill="1" applyBorder="1" applyAlignment="1">
      <alignment horizontal="left" vertical="center" wrapText="1"/>
    </xf>
    <xf numFmtId="0" fontId="9" fillId="3" borderId="2" xfId="0" applyFont="1" applyFill="1" applyBorder="1" applyAlignment="1">
      <alignment horizontal="left" vertical="center" wrapText="1"/>
    </xf>
    <xf numFmtId="0" fontId="0" fillId="3" borderId="2" xfId="0" applyFill="1" applyBorder="1" applyAlignment="1">
      <alignment horizontal="left" vertical="center" wrapText="1"/>
    </xf>
    <xf numFmtId="2" fontId="0" fillId="3" borderId="2" xfId="2" applyNumberFormat="1" applyFont="1" applyFill="1" applyBorder="1" applyAlignment="1">
      <alignment horizontal="left" vertical="center" wrapText="1"/>
    </xf>
    <xf numFmtId="0" fontId="0" fillId="3" borderId="7" xfId="0" applyFill="1" applyBorder="1" applyAlignment="1">
      <alignment vertical="center" wrapText="1"/>
    </xf>
    <xf numFmtId="0" fontId="0" fillId="3" borderId="1" xfId="0" applyFill="1" applyBorder="1" applyAlignment="1">
      <alignment vertical="top" wrapText="1"/>
    </xf>
    <xf numFmtId="0" fontId="8" fillId="17" borderId="1" xfId="0" applyFont="1" applyFill="1" applyBorder="1" applyAlignment="1">
      <alignment vertical="top" wrapText="1"/>
    </xf>
    <xf numFmtId="0" fontId="9" fillId="3" borderId="1" xfId="0" applyFont="1" applyFill="1" applyBorder="1" applyAlignment="1">
      <alignment vertical="top" wrapText="1"/>
    </xf>
    <xf numFmtId="0" fontId="6" fillId="3" borderId="12" xfId="0" applyFont="1" applyFill="1" applyBorder="1" applyAlignment="1">
      <alignment horizontal="center" vertical="center" wrapText="1"/>
    </xf>
    <xf numFmtId="0" fontId="8" fillId="17" borderId="2" xfId="0" applyFont="1" applyFill="1" applyBorder="1" applyAlignment="1">
      <alignment horizontal="center" vertical="center" wrapText="1"/>
    </xf>
    <xf numFmtId="0" fontId="6" fillId="3" borderId="3" xfId="0" applyFont="1" applyFill="1" applyBorder="1" applyAlignment="1">
      <alignment vertical="center" wrapText="1"/>
    </xf>
    <xf numFmtId="0" fontId="9" fillId="3" borderId="8" xfId="0" applyFont="1" applyFill="1" applyBorder="1" applyAlignment="1">
      <alignment horizontal="center" vertical="center" wrapText="1"/>
    </xf>
    <xf numFmtId="0" fontId="12" fillId="3" borderId="1" xfId="0" applyFont="1" applyFill="1" applyBorder="1" applyAlignment="1">
      <alignment horizontal="center" vertical="center" wrapText="1"/>
    </xf>
    <xf numFmtId="0" fontId="0" fillId="3" borderId="11" xfId="0" applyFill="1" applyBorder="1" applyAlignment="1">
      <alignment vertical="center" wrapText="1"/>
    </xf>
    <xf numFmtId="0" fontId="6" fillId="3" borderId="6" xfId="0"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3" xfId="0" applyFill="1" applyBorder="1" applyAlignment="1">
      <alignment horizontal="center" vertical="center" wrapText="1"/>
    </xf>
    <xf numFmtId="166" fontId="0" fillId="0" borderId="1" xfId="0" applyNumberFormat="1" applyBorder="1" applyAlignment="1">
      <alignment horizontal="center" vertical="center" wrapText="1"/>
    </xf>
    <xf numFmtId="2" fontId="0" fillId="0" borderId="1" xfId="0" applyNumberFormat="1" applyBorder="1" applyAlignment="1">
      <alignment horizontal="center" vertical="center"/>
    </xf>
    <xf numFmtId="0" fontId="12" fillId="6" borderId="1" xfId="0" applyFont="1" applyFill="1" applyBorder="1" applyAlignment="1">
      <alignment horizontal="center" vertical="center" wrapText="1"/>
    </xf>
    <xf numFmtId="0" fontId="0" fillId="19" borderId="0" xfId="0" applyFill="1" applyAlignment="1">
      <alignment horizontal="center" vertical="center" wrapText="1"/>
    </xf>
    <xf numFmtId="0" fontId="0" fillId="19" borderId="0" xfId="0" applyFill="1" applyAlignment="1">
      <alignment horizontal="center" vertical="center"/>
    </xf>
    <xf numFmtId="2" fontId="0" fillId="19" borderId="0" xfId="0" applyNumberFormat="1" applyFill="1" applyAlignment="1">
      <alignment horizontal="center" vertical="center"/>
    </xf>
    <xf numFmtId="0" fontId="9" fillId="19" borderId="0" xfId="0" applyFont="1" applyFill="1" applyAlignment="1">
      <alignment horizontal="center" vertical="center" wrapText="1"/>
    </xf>
    <xf numFmtId="166" fontId="0" fillId="19" borderId="0" xfId="0" applyNumberFormat="1" applyFill="1" applyAlignment="1">
      <alignment horizontal="center" vertical="center" wrapText="1"/>
    </xf>
    <xf numFmtId="0" fontId="0" fillId="19" borderId="0" xfId="0" applyFill="1"/>
    <xf numFmtId="0" fontId="12" fillId="19" borderId="0" xfId="0" applyFont="1" applyFill="1" applyAlignment="1">
      <alignment horizontal="center" vertical="center" wrapText="1"/>
    </xf>
    <xf numFmtId="0" fontId="9" fillId="20" borderId="1" xfId="0" applyFont="1" applyFill="1" applyBorder="1" applyAlignment="1">
      <alignment horizontal="center" vertical="center" wrapText="1"/>
    </xf>
    <xf numFmtId="0" fontId="0" fillId="20" borderId="1" xfId="0" applyFill="1" applyBorder="1" applyAlignment="1">
      <alignment horizontal="center" vertical="center"/>
    </xf>
    <xf numFmtId="0" fontId="12" fillId="20" borderId="1" xfId="0" applyFont="1" applyFill="1" applyBorder="1" applyAlignment="1">
      <alignment horizontal="center" vertical="center" wrapText="1"/>
    </xf>
    <xf numFmtId="2" fontId="0" fillId="20" borderId="1" xfId="0" applyNumberFormat="1" applyFill="1" applyBorder="1" applyAlignment="1">
      <alignment horizontal="center" vertical="center"/>
    </xf>
    <xf numFmtId="0" fontId="0" fillId="20" borderId="1" xfId="0" applyFill="1" applyBorder="1" applyAlignment="1">
      <alignment horizontal="center" vertical="center" wrapText="1"/>
    </xf>
    <xf numFmtId="0" fontId="0" fillId="20" borderId="0" xfId="0" applyFill="1"/>
    <xf numFmtId="0" fontId="0" fillId="20" borderId="0" xfId="0" applyFill="1" applyAlignment="1">
      <alignment horizontal="center" vertical="center" wrapText="1"/>
    </xf>
    <xf numFmtId="0" fontId="0" fillId="20" borderId="0" xfId="0" applyFill="1" applyAlignment="1">
      <alignment horizontal="center" vertical="center"/>
    </xf>
    <xf numFmtId="0" fontId="0" fillId="3" borderId="2" xfId="0" applyFill="1" applyBorder="1" applyAlignment="1">
      <alignment horizontal="left" vertical="center"/>
    </xf>
    <xf numFmtId="43" fontId="12" fillId="9" borderId="1" xfId="2" applyFont="1" applyFill="1" applyBorder="1" applyAlignment="1">
      <alignment horizontal="center" vertical="center" wrapText="1"/>
    </xf>
    <xf numFmtId="0" fontId="0" fillId="9" borderId="1" xfId="0" applyFill="1" applyBorder="1" applyAlignment="1">
      <alignment horizontal="center" vertical="center" wrapText="1"/>
    </xf>
    <xf numFmtId="0" fontId="0" fillId="9" borderId="2" xfId="0" applyFill="1" applyBorder="1" applyAlignment="1">
      <alignment horizontal="center" vertical="center" wrapText="1"/>
    </xf>
    <xf numFmtId="0" fontId="0" fillId="2" borderId="1" xfId="0" applyFill="1" applyBorder="1" applyAlignment="1">
      <alignment horizontal="center" vertical="center" wrapText="1"/>
    </xf>
    <xf numFmtId="0" fontId="0" fillId="16" borderId="1" xfId="0" applyFill="1" applyBorder="1" applyAlignment="1">
      <alignment horizontal="center" vertical="center" wrapText="1"/>
    </xf>
    <xf numFmtId="0" fontId="9" fillId="4"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1" fillId="0" borderId="0" xfId="0" applyFont="1" applyAlignment="1">
      <alignment vertical="center" wrapText="1"/>
    </xf>
    <xf numFmtId="0" fontId="0" fillId="2" borderId="0" xfId="0" applyFill="1" applyAlignment="1">
      <alignment horizontal="center" vertical="center"/>
    </xf>
    <xf numFmtId="0" fontId="0" fillId="2" borderId="0" xfId="0" applyFill="1"/>
    <xf numFmtId="0" fontId="0" fillId="2" borderId="0" xfId="0" applyFill="1" applyAlignment="1">
      <alignment horizontal="center" vertical="center" wrapText="1"/>
    </xf>
    <xf numFmtId="0" fontId="6" fillId="2" borderId="1" xfId="0" applyFont="1" applyFill="1" applyBorder="1" applyAlignment="1">
      <alignment horizontal="center" vertical="center" wrapText="1"/>
    </xf>
    <xf numFmtId="0" fontId="0" fillId="2" borderId="1" xfId="0" applyFill="1" applyBorder="1" applyAlignment="1">
      <alignment horizontal="center" vertical="center"/>
    </xf>
    <xf numFmtId="2" fontId="0" fillId="2" borderId="1" xfId="2" applyNumberFormat="1" applyFont="1" applyFill="1" applyBorder="1" applyAlignment="1">
      <alignment horizontal="center" vertical="center"/>
    </xf>
    <xf numFmtId="167" fontId="0" fillId="2" borderId="1" xfId="2" applyNumberFormat="1" applyFont="1" applyFill="1" applyBorder="1" applyAlignment="1">
      <alignment horizontal="center" vertical="center"/>
    </xf>
    <xf numFmtId="0" fontId="8" fillId="2" borderId="1" xfId="0" applyFont="1" applyFill="1" applyBorder="1" applyAlignment="1">
      <alignment horizontal="center" vertical="center" wrapText="1"/>
    </xf>
    <xf numFmtId="0" fontId="13" fillId="21" borderId="1" xfId="0" applyFont="1" applyFill="1" applyBorder="1" applyAlignment="1">
      <alignment vertical="center" wrapText="1"/>
    </xf>
    <xf numFmtId="0" fontId="10" fillId="2" borderId="1" xfId="0" applyFont="1" applyFill="1" applyBorder="1" applyAlignment="1">
      <alignment horizontal="center" vertical="center" wrapText="1"/>
    </xf>
    <xf numFmtId="0" fontId="0" fillId="2" borderId="1" xfId="0" applyFill="1" applyBorder="1"/>
    <xf numFmtId="0" fontId="8" fillId="21" borderId="1" xfId="0" applyFont="1" applyFill="1" applyBorder="1" applyAlignment="1">
      <alignment horizontal="center" vertical="center" wrapText="1"/>
    </xf>
    <xf numFmtId="0" fontId="9" fillId="2" borderId="1" xfId="0" applyFont="1" applyFill="1" applyBorder="1" applyAlignment="1">
      <alignment horizontal="center" vertical="center"/>
    </xf>
    <xf numFmtId="2" fontId="0" fillId="2" borderId="1" xfId="2" applyNumberFormat="1" applyFont="1" applyFill="1" applyBorder="1" applyAlignment="1">
      <alignment horizontal="center" vertical="center" wrapText="1"/>
    </xf>
    <xf numFmtId="0" fontId="0" fillId="2" borderId="1" xfId="0" applyFill="1" applyBorder="1" applyAlignment="1">
      <alignment vertical="center" wrapText="1"/>
    </xf>
    <xf numFmtId="0" fontId="0" fillId="2" borderId="1" xfId="0" applyFill="1" applyBorder="1" applyAlignment="1">
      <alignment wrapText="1"/>
    </xf>
    <xf numFmtId="0" fontId="0" fillId="6" borderId="1" xfId="0" applyFill="1" applyBorder="1" applyAlignment="1">
      <alignment vertical="center" wrapText="1"/>
    </xf>
    <xf numFmtId="0" fontId="0" fillId="6" borderId="1" xfId="0" applyFill="1" applyBorder="1" applyAlignment="1">
      <alignment wrapText="1"/>
    </xf>
    <xf numFmtId="0" fontId="0" fillId="6" borderId="1" xfId="0" applyFill="1" applyBorder="1" applyAlignment="1">
      <alignment horizontal="center" vertical="center"/>
    </xf>
    <xf numFmtId="2" fontId="0" fillId="6" borderId="1" xfId="2" applyNumberFormat="1" applyFont="1" applyFill="1" applyBorder="1" applyAlignment="1">
      <alignment horizontal="center" vertical="center"/>
    </xf>
    <xf numFmtId="0" fontId="0" fillId="6" borderId="10" xfId="0" applyFill="1" applyBorder="1" applyAlignment="1">
      <alignment horizontal="center" vertical="center" wrapText="1"/>
    </xf>
    <xf numFmtId="0" fontId="0" fillId="6" borderId="2" xfId="0" applyFill="1" applyBorder="1" applyAlignment="1">
      <alignment horizontal="center" vertical="center" wrapText="1"/>
    </xf>
    <xf numFmtId="0" fontId="9" fillId="6" borderId="12" xfId="0" applyFont="1" applyFill="1" applyBorder="1" applyAlignment="1">
      <alignment horizontal="center" vertical="center" wrapText="1"/>
    </xf>
    <xf numFmtId="0" fontId="0" fillId="6" borderId="2" xfId="0" applyFill="1" applyBorder="1" applyAlignment="1">
      <alignment horizontal="center" vertical="center"/>
    </xf>
    <xf numFmtId="2" fontId="0" fillId="6" borderId="2" xfId="2" applyNumberFormat="1" applyFont="1" applyFill="1" applyBorder="1" applyAlignment="1">
      <alignment horizontal="center" vertical="center"/>
    </xf>
    <xf numFmtId="0" fontId="9" fillId="6" borderId="2" xfId="0" applyFont="1" applyFill="1" applyBorder="1" applyAlignment="1">
      <alignment horizontal="center" vertical="center" wrapText="1"/>
    </xf>
    <xf numFmtId="0" fontId="0" fillId="6" borderId="1" xfId="0" applyFill="1" applyBorder="1" applyAlignment="1">
      <alignment vertical="center"/>
    </xf>
    <xf numFmtId="0" fontId="8"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13" fillId="22" borderId="1" xfId="0" applyFont="1" applyFill="1" applyBorder="1" applyAlignment="1">
      <alignment vertical="center" wrapText="1"/>
    </xf>
    <xf numFmtId="0" fontId="6" fillId="16" borderId="1" xfId="0" applyFont="1" applyFill="1" applyBorder="1" applyAlignment="1">
      <alignment horizontal="center" vertical="center" wrapText="1"/>
    </xf>
    <xf numFmtId="0" fontId="0" fillId="16" borderId="1" xfId="0" applyFill="1" applyBorder="1" applyAlignment="1">
      <alignment horizontal="center" vertical="center"/>
    </xf>
    <xf numFmtId="2" fontId="0" fillId="16" borderId="1" xfId="2" applyNumberFormat="1" applyFont="1" applyFill="1" applyBorder="1" applyAlignment="1">
      <alignment horizontal="center" vertical="center"/>
    </xf>
    <xf numFmtId="0" fontId="8" fillId="16" borderId="1" xfId="0" applyFont="1" applyFill="1" applyBorder="1" applyAlignment="1">
      <alignment horizontal="center" vertical="center" wrapText="1"/>
    </xf>
    <xf numFmtId="0" fontId="0" fillId="23" borderId="1" xfId="0" applyFill="1" applyBorder="1" applyAlignment="1">
      <alignment horizontal="center" vertical="center"/>
    </xf>
    <xf numFmtId="0" fontId="6" fillId="23" borderId="1" xfId="0" applyFont="1" applyFill="1" applyBorder="1" applyAlignment="1">
      <alignment horizontal="center" vertical="center" wrapText="1"/>
    </xf>
    <xf numFmtId="2" fontId="0" fillId="23" borderId="1" xfId="2" applyNumberFormat="1" applyFont="1" applyFill="1" applyBorder="1" applyAlignment="1">
      <alignment horizontal="center" vertical="center"/>
    </xf>
    <xf numFmtId="0" fontId="8" fillId="24" borderId="1" xfId="0" applyFont="1" applyFill="1" applyBorder="1" applyAlignment="1">
      <alignment horizontal="center" vertical="center" wrapText="1"/>
    </xf>
    <xf numFmtId="0" fontId="8" fillId="23" borderId="1" xfId="0" applyFont="1" applyFill="1" applyBorder="1" applyAlignment="1">
      <alignment horizontal="center" vertical="center" wrapText="1"/>
    </xf>
    <xf numFmtId="0" fontId="9" fillId="23" borderId="1" xfId="0" applyFont="1" applyFill="1" applyBorder="1" applyAlignment="1">
      <alignment horizontal="center" vertical="center" wrapText="1"/>
    </xf>
    <xf numFmtId="166" fontId="0" fillId="23" borderId="1" xfId="2" applyNumberFormat="1" applyFont="1" applyFill="1" applyBorder="1" applyAlignment="1">
      <alignment horizontal="center" vertical="center"/>
    </xf>
    <xf numFmtId="0" fontId="13" fillId="24" borderId="1" xfId="0" applyFont="1" applyFill="1" applyBorder="1" applyAlignment="1">
      <alignment horizontal="center" vertical="center" wrapText="1"/>
    </xf>
    <xf numFmtId="0" fontId="0" fillId="2" borderId="1" xfId="0" applyFill="1" applyBorder="1" applyAlignment="1">
      <alignment horizontal="left" vertical="center" wrapText="1"/>
    </xf>
    <xf numFmtId="0" fontId="6" fillId="2" borderId="1" xfId="0" applyFont="1" applyFill="1" applyBorder="1" applyAlignment="1">
      <alignment horizontal="left" vertical="center" wrapText="1"/>
    </xf>
    <xf numFmtId="2" fontId="0" fillId="2" borderId="1" xfId="2" applyNumberFormat="1" applyFont="1" applyFill="1" applyBorder="1" applyAlignment="1">
      <alignment horizontal="left" vertical="center" wrapText="1"/>
    </xf>
    <xf numFmtId="0" fontId="8" fillId="2" borderId="1" xfId="0" applyFont="1" applyFill="1" applyBorder="1" applyAlignment="1">
      <alignment horizontal="left" vertical="center" wrapText="1"/>
    </xf>
    <xf numFmtId="0" fontId="0" fillId="2" borderId="0" xfId="0" applyFill="1" applyAlignment="1">
      <alignment horizontal="left" vertical="center" wrapText="1"/>
    </xf>
    <xf numFmtId="0" fontId="12" fillId="2" borderId="1" xfId="0" applyFont="1" applyFill="1" applyBorder="1" applyAlignment="1">
      <alignment horizontal="center" vertical="center" wrapText="1"/>
    </xf>
    <xf numFmtId="2" fontId="0" fillId="2" borderId="1" xfId="0" applyNumberFormat="1" applyFill="1" applyBorder="1" applyAlignment="1">
      <alignment horizontal="center" vertical="center"/>
    </xf>
    <xf numFmtId="0" fontId="0" fillId="6" borderId="0" xfId="0" applyFill="1" applyAlignment="1">
      <alignment horizontal="left" vertical="center" wrapText="1"/>
    </xf>
    <xf numFmtId="0" fontId="0" fillId="6" borderId="1" xfId="0" applyFill="1" applyBorder="1" applyAlignment="1">
      <alignment horizontal="left" vertical="center" wrapText="1"/>
    </xf>
    <xf numFmtId="0" fontId="6" fillId="6" borderId="1" xfId="0" applyFont="1" applyFill="1" applyBorder="1" applyAlignment="1">
      <alignment horizontal="left" vertical="center" wrapText="1"/>
    </xf>
    <xf numFmtId="2" fontId="0" fillId="6" borderId="1" xfId="2" applyNumberFormat="1" applyFont="1" applyFill="1" applyBorder="1" applyAlignment="1">
      <alignment horizontal="left" vertical="center" wrapText="1"/>
    </xf>
    <xf numFmtId="0" fontId="8" fillId="6" borderId="1" xfId="0" applyFont="1" applyFill="1" applyBorder="1" applyAlignment="1">
      <alignment horizontal="left" vertical="center" wrapText="1"/>
    </xf>
    <xf numFmtId="0" fontId="0" fillId="6" borderId="7" xfId="0" applyFill="1" applyBorder="1" applyAlignment="1">
      <alignment horizontal="left" vertical="center" wrapText="1"/>
    </xf>
    <xf numFmtId="0" fontId="9" fillId="6" borderId="7" xfId="0" applyFont="1" applyFill="1" applyBorder="1" applyAlignment="1">
      <alignment horizontal="left" vertical="center" wrapText="1"/>
    </xf>
    <xf numFmtId="2" fontId="0" fillId="6" borderId="7" xfId="2" applyNumberFormat="1" applyFont="1" applyFill="1" applyBorder="1" applyAlignment="1">
      <alignment horizontal="left" vertical="center" wrapText="1"/>
    </xf>
    <xf numFmtId="0" fontId="9" fillId="6" borderId="1" xfId="0" applyFont="1" applyFill="1" applyBorder="1" applyAlignment="1">
      <alignment horizontal="left" vertical="center" wrapText="1"/>
    </xf>
    <xf numFmtId="0" fontId="10" fillId="6" borderId="1" xfId="0" applyFont="1" applyFill="1" applyBorder="1" applyAlignment="1">
      <alignment horizontal="left" vertical="center" wrapText="1"/>
    </xf>
    <xf numFmtId="0" fontId="13" fillId="22" borderId="1" xfId="0" applyFont="1" applyFill="1" applyBorder="1" applyAlignment="1">
      <alignment horizontal="left" vertical="center" wrapText="1"/>
    </xf>
    <xf numFmtId="0" fontId="0" fillId="6" borderId="1" xfId="0" applyFill="1" applyBorder="1" applyAlignment="1">
      <alignment horizontal="left" vertical="center"/>
    </xf>
    <xf numFmtId="2" fontId="0" fillId="6" borderId="1" xfId="2" applyNumberFormat="1" applyFont="1" applyFill="1" applyBorder="1" applyAlignment="1">
      <alignment horizontal="left" vertical="center"/>
    </xf>
    <xf numFmtId="0" fontId="6" fillId="6" borderId="9" xfId="0" applyFont="1" applyFill="1" applyBorder="1" applyAlignment="1">
      <alignment horizontal="left" vertical="center" wrapText="1"/>
    </xf>
    <xf numFmtId="0" fontId="13" fillId="22" borderId="7" xfId="0" applyFont="1" applyFill="1" applyBorder="1" applyAlignment="1">
      <alignment horizontal="left" vertical="center" wrapText="1"/>
    </xf>
  </cellXfs>
  <cellStyles count="3">
    <cellStyle name="Comma" xfId="2" builtinId="3"/>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 Target="richData/rdrichvalue.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person displayName="Mike Kukushkin" id="{81D20722-5668-454B-A1B8-626E3F9F2D1D}" userId="Mike Kukushkin" providerId="None"/>
  <person displayName="nikos takatzoglou" id="{022532E5-B680-4CFC-B6A8-2FDC21B67196}" userId="36e2f61fe0a88984" providerId="Windows Live"/>
  <person displayName="Takatzoglou, Nikos [MEDGR]" id="{D9FD697A-E47C-4801-890D-FBB3DC18A129}" userId="S::ntakatzo@its.jnj.com::63bf3245-bfc0-46e9-85a0-dc82d21c6870" providerId="AD"/>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4-05-07T15:20:20.93" personId="{81D20722-5668-454B-A1B8-626E3F9F2D1D}" id="{23001E36-B56A-42A3-8457-B902A0344F5F}">
    <text>Should we add 2 columns before: «Date of form completion» and «Name of the person extracting data»?</text>
  </threadedComment>
  <threadedComment ref="A1" dT="2024-05-09T09:44:47.67" personId="{D9FD697A-E47C-4801-890D-FBB3DC18A129}" id="{51A4A8FB-D0C3-4B17-83F1-24E07999407E}" parentId="{23001E36-B56A-42A3-8457-B902A0344F5F}">
    <text>Hmmm, we could do that.</text>
  </threadedComment>
  <threadedComment ref="C1" dT="2024-05-07T14:57:01.47" personId="{81D20722-5668-454B-A1B8-626E3F9F2D1D}" id="{4A086074-2716-404B-8891-ADA8D14B08EB}">
    <text>Full reference citation instead?</text>
  </threadedComment>
  <threadedComment ref="C1" dT="2024-05-09T09:46:01.06" personId="{D9FD697A-E47C-4801-890D-FBB3DC18A129}" id="{1396579C-3C5E-475A-B7FA-2EA9C4867E8A}" parentId="{4A086074-2716-404B-8891-ADA8D14B08EB}">
    <text xml:space="preserve">Both then
</text>
  </threadedComment>
  <threadedComment ref="F1" dT="2024-05-07T14:59:14.95" personId="{81D20722-5668-454B-A1B8-626E3F9F2D1D}" id="{36AFD9E9-270E-4309-9486-456BB1D6812C}">
    <text>«Study Design» instead?</text>
  </threadedComment>
  <threadedComment ref="F1" dT="2024-05-09T09:46:18.11" personId="{D9FD697A-E47C-4801-890D-FBB3DC18A129}" id="{F027B7E4-4630-4572-AF08-0ACC84D04F95}" parentId="{36AFD9E9-270E-4309-9486-456BB1D6812C}">
    <text xml:space="preserve">Good point
</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4-05-07T14:57:32.79" personId="{81D20722-5668-454B-A1B8-626E3F9F2D1D}" id="{2E8F71F2-46E3-4CBF-80D9-4C2A23723616}">
    <text>Move to the 1st place before the title and citations?</text>
  </threadedComment>
  <threadedComment ref="A1" dT="2024-05-09T09:44:23.38" personId="{D9FD697A-E47C-4801-890D-FBB3DC18A129}" id="{A52C3BFC-F0E9-4562-B4FD-6E0D4C87E894}" parentId="{2E8F71F2-46E3-4CBF-80D9-4C2A23723616}">
    <text>agreed</text>
  </threadedComment>
  <threadedComment ref="D1" dT="2024-05-07T15:20:20.93" personId="{81D20722-5668-454B-A1B8-626E3F9F2D1D}" id="{7935806F-705F-45F9-B8E2-A5955C4AF8F9}">
    <text>Should we add 2 columns before: «Date of form completion» and «Name of the person extracting data»?</text>
  </threadedComment>
  <threadedComment ref="D1" dT="2024-05-09T09:44:47.67" personId="{D9FD697A-E47C-4801-890D-FBB3DC18A129}" id="{291EC485-8998-4FA0-B98A-88F591D55903}" parentId="{7935806F-705F-45F9-B8E2-A5955C4AF8F9}">
    <text>Hmmm, we could do that.</text>
  </threadedComment>
  <threadedComment ref="F1" dT="2024-05-07T14:57:01.47" personId="{81D20722-5668-454B-A1B8-626E3F9F2D1D}" id="{6B28A6CA-69A4-460C-BF11-F2A2657DC252}">
    <text>Full reference citation instead?</text>
  </threadedComment>
  <threadedComment ref="F1" dT="2024-05-09T09:46:01.06" personId="{D9FD697A-E47C-4801-890D-FBB3DC18A129}" id="{21A802CA-A62D-4F04-A2CC-24CF48953245}" parentId="{6B28A6CA-69A4-460C-BF11-F2A2657DC252}">
    <text xml:space="preserve">Both then
</text>
  </threadedComment>
  <threadedComment ref="I1" dT="2024-05-07T14:59:14.95" personId="{81D20722-5668-454B-A1B8-626E3F9F2D1D}" id="{E6227C0D-6B13-458E-B173-E7615C3A06F2}">
    <text>«Study Design» instead?</text>
  </threadedComment>
  <threadedComment ref="I1" dT="2024-05-09T09:46:18.11" personId="{D9FD697A-E47C-4801-890D-FBB3DC18A129}" id="{2879C726-9F49-4EEF-A345-A77CEA062779}" parentId="{E6227C0D-6B13-458E-B173-E7615C3A06F2}">
    <text xml:space="preserve">Good point
</text>
  </threadedComment>
</ThreadedComments>
</file>

<file path=xl/threadedComments/threadedComment3.xml><?xml version="1.0" encoding="utf-8"?>
<ThreadedComments xmlns="http://schemas.microsoft.com/office/spreadsheetml/2018/threadedcomments" xmlns:x="http://schemas.openxmlformats.org/spreadsheetml/2006/main">
  <threadedComment ref="H3" dT="2025-01-07T19:50:25.30" personId="{022532E5-B680-4CFC-B6A8-2FDC21B67196}" id="{3A7A0364-6326-4556-90BE-9459E094FDE4}">
    <text>95%CI calculated through SE is not matching with p-value reported estimates ; robust SEs are provided but OR is not robust</text>
  </threadedComment>
</ThreadedComments>
</file>

<file path=xl/threadedComments/threadedComment4.xml><?xml version="1.0" encoding="utf-8"?>
<ThreadedComments xmlns="http://schemas.microsoft.com/office/spreadsheetml/2018/threadedcomments" xmlns:x="http://schemas.openxmlformats.org/spreadsheetml/2006/main">
  <threadedComment ref="E29" dT="2025-01-06T21:05:44.23" personId="{022532E5-B680-4CFC-B6A8-2FDC21B67196}" id="{1D3D24A8-4CE5-4C4F-B001-528E4CE7BB8F}">
    <text xml:space="preserve">90% CI
</text>
  </threadedComment>
  <threadedComment ref="E83" dT="2025-01-06T21:07:16.76" personId="{022532E5-B680-4CFC-B6A8-2FDC21B67196}" id="{41760ED1-7A3D-43EA-B3A5-41E3E15F239F}">
    <text xml:space="preserve">90% CI
</text>
  </threadedComment>
  <threadedComment ref="F84" dT="2025-01-06T21:15:46.30" personId="{022532E5-B680-4CFC-B6A8-2FDC21B67196}" id="{2DB5B4ED-443B-429B-A125-664918E54CC4}">
    <text>90% CI</text>
  </threadedComment>
  <threadedComment ref="F87" dT="2025-01-06T21:09:46.14" personId="{022532E5-B680-4CFC-B6A8-2FDC21B67196}" id="{EC5991C4-542A-4676-B91A-4A38002C0CCC}">
    <text xml:space="preserve">90% CI
</text>
  </threadedComment>
  <threadedComment ref="K94" dT="2025-01-06T21:11:01.09" personId="{022532E5-B680-4CFC-B6A8-2FDC21B67196}" id="{05539A2D-3EDD-42F0-908C-FA6C5852B3FB}">
    <text>SMR</text>
  </threadedComment>
  <threadedComment ref="K95" dT="2025-01-06T21:11:07.80" personId="{022532E5-B680-4CFC-B6A8-2FDC21B67196}" id="{720E3AA5-3384-4497-ACC2-B34EDE4E77DD}">
    <text>ASMR</text>
  </threadedComment>
</ThreadedComments>
</file>

<file path=xl/threadedComments/threadedComment5.xml><?xml version="1.0" encoding="utf-8"?>
<ThreadedComments xmlns="http://schemas.microsoft.com/office/spreadsheetml/2018/threadedcomments" xmlns:x="http://schemas.openxmlformats.org/spreadsheetml/2006/main">
  <threadedComment ref="F3" dT="2025-01-06T21:02:05.18" personId="{022532E5-B680-4CFC-B6A8-2FDC21B67196}" id="{40BD03C3-41E6-45CE-9E57-8916C301BBF8}">
    <text xml:space="preserve">90% CI
</text>
  </threadedComment>
  <threadedComment ref="F9" dT="2025-01-06T21:02:23.22" personId="{022532E5-B680-4CFC-B6A8-2FDC21B67196}" id="{F1D229CD-BB5D-44EE-88D4-9FA4D8E18F49}">
    <text xml:space="preserve">90% CI
</text>
  </threadedComment>
  <threadedComment ref="F16" dT="2025-01-06T21:01:38.47" personId="{022532E5-B680-4CFC-B6A8-2FDC21B67196}" id="{F29C0EE3-7D49-4B78-A6BC-B1611355A3DF}">
    <text>90% CI</text>
  </threadedComment>
  <threadedComment ref="G16" dT="2025-01-06T21:01:45.82" personId="{022532E5-B680-4CFC-B6A8-2FDC21B67196}" id="{52A7C3BB-C5E5-49AF-88BA-223000B01346}">
    <text>90% CI</text>
  </threadedComment>
</ThreadedComments>
</file>

<file path=xl/threadedComments/threadedComment6.xml><?xml version="1.0" encoding="utf-8"?>
<ThreadedComments xmlns="http://schemas.microsoft.com/office/spreadsheetml/2018/threadedcomments" xmlns:x="http://schemas.openxmlformats.org/spreadsheetml/2006/main">
  <threadedComment ref="F11" dT="2025-01-07T22:30:57.80" personId="{022532E5-B680-4CFC-B6A8-2FDC21B67196}" id="{29245C8C-2661-4411-BF69-FC13611CD88B}">
    <text>Inconsistency</text>
  </threadedComment>
  <threadedComment ref="F31" dT="2025-01-06T21:04:08.23" personId="{022532E5-B680-4CFC-B6A8-2FDC21B67196}" id="{7A326156-AFC6-43D1-BB7E-48F783D13366}">
    <text xml:space="preserve">90% CI
</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https://doi.org/10.1371/journal.pone.0206121" TargetMode="External"/><Relationship Id="rId13" Type="http://schemas.openxmlformats.org/officeDocument/2006/relationships/hyperlink" Target="https://doi.org/10.1016/j.socscimed.2023.116045" TargetMode="External"/><Relationship Id="rId18" Type="http://schemas.openxmlformats.org/officeDocument/2006/relationships/hyperlink" Target="https://doi.org/10.1111/1754-9485.13386" TargetMode="External"/><Relationship Id="rId3" Type="http://schemas.openxmlformats.org/officeDocument/2006/relationships/hyperlink" Target="https://doi.org/10.1186/s13561-019-0254-6" TargetMode="External"/><Relationship Id="rId21" Type="http://schemas.openxmlformats.org/officeDocument/2006/relationships/hyperlink" Target="https://doi.org/10.1016/j.jval.2022.04.1206" TargetMode="External"/><Relationship Id="rId7" Type="http://schemas.openxmlformats.org/officeDocument/2006/relationships/hyperlink" Target="https://doi.org/10.1017/S1744133113000030" TargetMode="External"/><Relationship Id="rId12" Type="http://schemas.openxmlformats.org/officeDocument/2006/relationships/hyperlink" Target="https://doi.org/10.1016/j.healthpol.2016.09.016" TargetMode="External"/><Relationship Id="rId17" Type="http://schemas.openxmlformats.org/officeDocument/2006/relationships/hyperlink" Target="https://doi.org/10.1016/j.jval.2019.07.017" TargetMode="External"/><Relationship Id="rId25" Type="http://schemas.microsoft.com/office/2017/10/relationships/threadedComment" Target="../threadedComments/threadedComment1.xml"/><Relationship Id="rId2" Type="http://schemas.openxmlformats.org/officeDocument/2006/relationships/hyperlink" Target="https://doi.org/10.1186/s13561-019-0254-6" TargetMode="External"/><Relationship Id="rId16" Type="http://schemas.openxmlformats.org/officeDocument/2006/relationships/hyperlink" Target="https://doi.org/10.1007/s10198-013-0514-z" TargetMode="External"/><Relationship Id="rId20" Type="http://schemas.openxmlformats.org/officeDocument/2006/relationships/hyperlink" Target="https://doi.org/10.1016/j.healthpol.2013.01.017" TargetMode="External"/><Relationship Id="rId1" Type="http://schemas.openxmlformats.org/officeDocument/2006/relationships/hyperlink" Target="https://doi.org/10.1017/S0266462306050963" TargetMode="External"/><Relationship Id="rId6" Type="http://schemas.openxmlformats.org/officeDocument/2006/relationships/hyperlink" Target="https://doi.org/10.1016/j.esmoop.2022.100569" TargetMode="External"/><Relationship Id="rId11" Type="http://schemas.openxmlformats.org/officeDocument/2006/relationships/hyperlink" Target="https://doi.org/10.3389/fphar.2019.00487" TargetMode="External"/><Relationship Id="rId24" Type="http://schemas.openxmlformats.org/officeDocument/2006/relationships/comments" Target="../comments1.xml"/><Relationship Id="rId5" Type="http://schemas.openxmlformats.org/officeDocument/2006/relationships/hyperlink" Target="https://doi.org/10.1186/s12961-023-01018-1" TargetMode="External"/><Relationship Id="rId15" Type="http://schemas.openxmlformats.org/officeDocument/2006/relationships/hyperlink" Target="https://doi.org/10.1016/j.healthpol.2005.08.008" TargetMode="External"/><Relationship Id="rId23" Type="http://schemas.openxmlformats.org/officeDocument/2006/relationships/vmlDrawing" Target="../drawings/vmlDrawing1.vml"/><Relationship Id="rId10" Type="http://schemas.openxmlformats.org/officeDocument/2006/relationships/hyperlink" Target="https://doi.org/10.1016/j.jval.2023.02.018" TargetMode="External"/><Relationship Id="rId19" Type="http://schemas.openxmlformats.org/officeDocument/2006/relationships/hyperlink" Target="https://doi.org/10.1177/0272989X08315247" TargetMode="External"/><Relationship Id="rId4" Type="http://schemas.openxmlformats.org/officeDocument/2006/relationships/hyperlink" Target="https://doi.org/10.1186/s12961-023-01018-1" TargetMode="External"/><Relationship Id="rId9" Type="http://schemas.openxmlformats.org/officeDocument/2006/relationships/hyperlink" Target="https://doi.org/10.1371/journal.pone.0206121" TargetMode="External"/><Relationship Id="rId14" Type="http://schemas.openxmlformats.org/officeDocument/2006/relationships/hyperlink" Target="https://doi.org/10.1016/j.jval.2021.11.847" TargetMode="External"/><Relationship Id="rId22" Type="http://schemas.openxmlformats.org/officeDocument/2006/relationships/hyperlink" Target="https://doi.org/10.1071/AH22198"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doi.org/10.1371/journal.pone.0206121" TargetMode="External"/><Relationship Id="rId13" Type="http://schemas.openxmlformats.org/officeDocument/2006/relationships/hyperlink" Target="https://doi.org/10.1016/j.socscimed.2023.116045" TargetMode="External"/><Relationship Id="rId18" Type="http://schemas.openxmlformats.org/officeDocument/2006/relationships/hyperlink" Target="https://doi.org/10.1111/1754-9485.13386" TargetMode="External"/><Relationship Id="rId3" Type="http://schemas.openxmlformats.org/officeDocument/2006/relationships/hyperlink" Target="https://doi.org/10.1186/s13561-019-0254-6" TargetMode="External"/><Relationship Id="rId21" Type="http://schemas.openxmlformats.org/officeDocument/2006/relationships/comments" Target="../comments2.xml"/><Relationship Id="rId7" Type="http://schemas.openxmlformats.org/officeDocument/2006/relationships/hyperlink" Target="https://doi.org/10.1017/S1744133113000030" TargetMode="External"/><Relationship Id="rId12" Type="http://schemas.openxmlformats.org/officeDocument/2006/relationships/hyperlink" Target="https://doi.org/10.1016/j.healthpol.2016.09.016" TargetMode="External"/><Relationship Id="rId17" Type="http://schemas.openxmlformats.org/officeDocument/2006/relationships/hyperlink" Target="https://doi.org/10.1016/j.jval.2019.07.017" TargetMode="External"/><Relationship Id="rId2" Type="http://schemas.openxmlformats.org/officeDocument/2006/relationships/hyperlink" Target="https://doi.org/10.1186/s13561-019-0254-6" TargetMode="External"/><Relationship Id="rId16" Type="http://schemas.openxmlformats.org/officeDocument/2006/relationships/hyperlink" Target="https://doi.org/10.1007/s10198-013-0514-z" TargetMode="External"/><Relationship Id="rId20" Type="http://schemas.openxmlformats.org/officeDocument/2006/relationships/vmlDrawing" Target="../drawings/vmlDrawing2.vml"/><Relationship Id="rId1" Type="http://schemas.openxmlformats.org/officeDocument/2006/relationships/hyperlink" Target="https://doi.org/10.1017/S0266462306050963" TargetMode="External"/><Relationship Id="rId6" Type="http://schemas.openxmlformats.org/officeDocument/2006/relationships/hyperlink" Target="https://doi.org/10.1016/j.esmoop.2022.100569" TargetMode="External"/><Relationship Id="rId11" Type="http://schemas.openxmlformats.org/officeDocument/2006/relationships/hyperlink" Target="https://doi.org/10.3389/fphar.2019.00487" TargetMode="External"/><Relationship Id="rId5" Type="http://schemas.openxmlformats.org/officeDocument/2006/relationships/hyperlink" Target="https://doi.org/10.1186/s12961-023-01018-1" TargetMode="External"/><Relationship Id="rId15" Type="http://schemas.openxmlformats.org/officeDocument/2006/relationships/hyperlink" Target="https://doi.org/10.1016/j.healthpol.2005.08.008" TargetMode="External"/><Relationship Id="rId10" Type="http://schemas.openxmlformats.org/officeDocument/2006/relationships/hyperlink" Target="https://doi.org/10.1016/j.jval.2023.02.018" TargetMode="External"/><Relationship Id="rId19" Type="http://schemas.openxmlformats.org/officeDocument/2006/relationships/printerSettings" Target="../printerSettings/printerSettings1.bin"/><Relationship Id="rId4" Type="http://schemas.openxmlformats.org/officeDocument/2006/relationships/hyperlink" Target="https://doi.org/10.1186/s12961-023-01018-1" TargetMode="External"/><Relationship Id="rId9" Type="http://schemas.openxmlformats.org/officeDocument/2006/relationships/hyperlink" Target="https://doi.org/10.1371/journal.pone.0206121" TargetMode="External"/><Relationship Id="rId14" Type="http://schemas.openxmlformats.org/officeDocument/2006/relationships/hyperlink" Target="https://doi.org/10.1016/j.jval.2021.11.847" TargetMode="External"/><Relationship Id="rId22" Type="http://schemas.microsoft.com/office/2017/10/relationships/threadedComment" Target="../threadedComments/threadedComment2.xml"/></Relationships>
</file>

<file path=xl/worksheets/_rels/sheet9.xml.rels><?xml version="1.0" encoding="UTF-8" standalone="yes"?>
<Relationships xmlns="http://schemas.openxmlformats.org/package/2006/relationships"><Relationship Id="rId2" Type="http://schemas.openxmlformats.org/officeDocument/2006/relationships/hyperlink" Target="https://doi.org/10.1177/0272989X08315247" TargetMode="External"/><Relationship Id="rId1" Type="http://schemas.openxmlformats.org/officeDocument/2006/relationships/hyperlink" Target="https://doi.org/10.1016/j.healthpol.2013.01.017" TargetMode="External"/></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D3D18-7161-4658-AC18-85A720975C3D}">
  <sheetPr>
    <tabColor rgb="FF002060"/>
  </sheetPr>
  <dimension ref="A1:AA54"/>
  <sheetViews>
    <sheetView zoomScale="80" zoomScaleNormal="80" workbookViewId="0">
      <pane xSplit="1" ySplit="1" topLeftCell="B2" activePane="bottomRight" state="frozen"/>
      <selection pane="bottomRight" activeCell="E44" sqref="E44"/>
      <selection pane="bottomLeft" activeCell="A2" sqref="A2"/>
      <selection pane="topRight" activeCell="B1" sqref="B1"/>
    </sheetView>
  </sheetViews>
  <sheetFormatPr defaultRowHeight="15"/>
  <cols>
    <col min="1" max="3" width="35.140625" customWidth="1"/>
    <col min="5" max="5" width="11" style="36" customWidth="1"/>
    <col min="6" max="6" width="14.85546875" customWidth="1"/>
    <col min="7" max="8" width="28.140625" style="6" customWidth="1"/>
    <col min="9" max="9" width="26.42578125" customWidth="1"/>
    <col min="10" max="10" width="15.140625" customWidth="1"/>
    <col min="11" max="11" width="14.7109375" customWidth="1"/>
    <col min="12" max="12" width="18.140625" customWidth="1"/>
    <col min="13" max="13" width="14" customWidth="1"/>
    <col min="14" max="14" width="12.5703125" customWidth="1"/>
    <col min="18" max="18" width="14" customWidth="1"/>
    <col min="19" max="19" width="9.140625" customWidth="1"/>
    <col min="20" max="20" width="18.7109375" customWidth="1"/>
    <col min="21" max="21" width="18.140625" customWidth="1"/>
    <col min="23" max="23" width="17.85546875" customWidth="1"/>
  </cols>
  <sheetData>
    <row r="1" spans="1:23" s="7" customFormat="1" ht="210">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3" t="s">
        <v>22</v>
      </c>
    </row>
    <row r="2" spans="1:23" ht="409.5">
      <c r="A2" s="21" t="s">
        <v>23</v>
      </c>
      <c r="B2" s="8" t="s">
        <v>24</v>
      </c>
      <c r="C2" s="9" t="s">
        <v>25</v>
      </c>
      <c r="D2" s="8">
        <v>2006</v>
      </c>
      <c r="E2" s="36" t="s">
        <v>26</v>
      </c>
      <c r="F2" s="8" t="s">
        <v>27</v>
      </c>
      <c r="G2" s="1" t="s">
        <v>28</v>
      </c>
      <c r="H2" s="1" t="s">
        <v>29</v>
      </c>
      <c r="I2" s="8" t="s">
        <v>30</v>
      </c>
      <c r="J2" s="8" t="s">
        <v>31</v>
      </c>
      <c r="K2" s="8" t="s">
        <v>32</v>
      </c>
      <c r="L2" s="8" t="s">
        <v>33</v>
      </c>
      <c r="M2" s="8" t="s">
        <v>34</v>
      </c>
      <c r="N2" s="8" t="s">
        <v>35</v>
      </c>
      <c r="O2" s="8" t="s">
        <v>36</v>
      </c>
      <c r="P2" s="8" t="s">
        <v>37</v>
      </c>
      <c r="Q2" s="8" t="s">
        <v>38</v>
      </c>
      <c r="R2" s="8" t="s">
        <v>39</v>
      </c>
      <c r="S2" s="8" t="s">
        <v>40</v>
      </c>
      <c r="T2" s="8" t="s">
        <v>41</v>
      </c>
      <c r="U2" s="8" t="s">
        <v>42</v>
      </c>
      <c r="V2" s="8" t="s">
        <v>43</v>
      </c>
      <c r="W2" s="8" t="s">
        <v>44</v>
      </c>
    </row>
    <row r="3" spans="1:23" ht="225">
      <c r="A3" s="19" t="s">
        <v>45</v>
      </c>
      <c r="B3" s="9" t="s">
        <v>46</v>
      </c>
      <c r="C3" s="9" t="s">
        <v>47</v>
      </c>
      <c r="D3" s="8">
        <v>2019</v>
      </c>
      <c r="E3" s="36" t="s">
        <v>48</v>
      </c>
      <c r="F3" s="8" t="s">
        <v>49</v>
      </c>
      <c r="G3" s="1" t="s">
        <v>50</v>
      </c>
      <c r="H3" s="1" t="s">
        <v>51</v>
      </c>
      <c r="I3" s="8" t="s">
        <v>30</v>
      </c>
      <c r="J3" s="8" t="s">
        <v>52</v>
      </c>
      <c r="K3" s="7" t="s">
        <v>53</v>
      </c>
      <c r="L3" s="8" t="s">
        <v>52</v>
      </c>
      <c r="M3" s="8" t="s">
        <v>54</v>
      </c>
      <c r="N3" s="8" t="s">
        <v>55</v>
      </c>
      <c r="O3" s="8" t="s">
        <v>56</v>
      </c>
      <c r="P3" s="8" t="s">
        <v>37</v>
      </c>
      <c r="Q3" s="8" t="s">
        <v>57</v>
      </c>
      <c r="R3" s="8" t="s">
        <v>58</v>
      </c>
      <c r="S3" s="8" t="s">
        <v>59</v>
      </c>
      <c r="T3" s="8" t="s">
        <v>60</v>
      </c>
      <c r="U3" s="8" t="s">
        <v>61</v>
      </c>
      <c r="V3" s="8" t="s">
        <v>62</v>
      </c>
      <c r="W3" s="8" t="s">
        <v>63</v>
      </c>
    </row>
    <row r="4" spans="1:23" ht="195">
      <c r="A4" s="21" t="s">
        <v>64</v>
      </c>
      <c r="B4" s="9" t="s">
        <v>65</v>
      </c>
      <c r="C4" s="9" t="s">
        <v>66</v>
      </c>
      <c r="D4" s="8">
        <v>2023</v>
      </c>
      <c r="E4" s="36" t="s">
        <v>26</v>
      </c>
      <c r="F4" s="8" t="s">
        <v>49</v>
      </c>
      <c r="G4" s="1" t="s">
        <v>67</v>
      </c>
      <c r="H4" s="1" t="s">
        <v>68</v>
      </c>
      <c r="I4" s="8" t="s">
        <v>30</v>
      </c>
      <c r="J4" s="8" t="s">
        <v>69</v>
      </c>
      <c r="K4" s="15" t="s">
        <v>70</v>
      </c>
      <c r="L4" s="8" t="s">
        <v>71</v>
      </c>
      <c r="M4" s="8" t="s">
        <v>72</v>
      </c>
      <c r="N4" s="8" t="s">
        <v>73</v>
      </c>
      <c r="O4" s="8" t="s">
        <v>74</v>
      </c>
      <c r="P4" s="8" t="s">
        <v>75</v>
      </c>
      <c r="Q4" s="8" t="s">
        <v>76</v>
      </c>
      <c r="R4" s="8" t="s">
        <v>77</v>
      </c>
      <c r="S4" s="8" t="s">
        <v>78</v>
      </c>
      <c r="T4" s="8" t="s">
        <v>79</v>
      </c>
      <c r="U4" s="8" t="s">
        <v>80</v>
      </c>
      <c r="V4" s="8" t="s">
        <v>81</v>
      </c>
      <c r="W4" s="8" t="s">
        <v>82</v>
      </c>
    </row>
    <row r="5" spans="1:23" ht="409.5">
      <c r="A5" s="21" t="s">
        <v>83</v>
      </c>
      <c r="B5" s="8" t="s">
        <v>84</v>
      </c>
      <c r="C5" s="8" t="s">
        <v>85</v>
      </c>
      <c r="D5" s="8">
        <v>2015</v>
      </c>
      <c r="E5" s="36" t="s">
        <v>26</v>
      </c>
      <c r="F5" s="8" t="s">
        <v>27</v>
      </c>
      <c r="G5" s="1" t="s">
        <v>86</v>
      </c>
      <c r="H5" s="1" t="s">
        <v>51</v>
      </c>
      <c r="I5" s="8" t="s">
        <v>30</v>
      </c>
      <c r="J5" s="8" t="s">
        <v>87</v>
      </c>
      <c r="K5" s="8" t="s">
        <v>88</v>
      </c>
      <c r="L5" s="8" t="s">
        <v>89</v>
      </c>
      <c r="M5" s="8" t="s">
        <v>90</v>
      </c>
      <c r="N5" s="8" t="s">
        <v>91</v>
      </c>
      <c r="O5" s="8" t="s">
        <v>92</v>
      </c>
      <c r="P5" s="6" t="s">
        <v>37</v>
      </c>
      <c r="Q5" t="s">
        <v>93</v>
      </c>
      <c r="R5" t="s">
        <v>94</v>
      </c>
      <c r="S5" s="8" t="s">
        <v>95</v>
      </c>
      <c r="T5" s="8" t="s">
        <v>96</v>
      </c>
      <c r="U5" s="8" t="s">
        <v>97</v>
      </c>
      <c r="V5" s="8" t="s">
        <v>98</v>
      </c>
      <c r="W5" s="8" t="s">
        <v>99</v>
      </c>
    </row>
    <row r="6" spans="1:23" ht="330">
      <c r="A6" s="21" t="s">
        <v>100</v>
      </c>
      <c r="B6" s="8" t="s">
        <v>101</v>
      </c>
      <c r="C6" s="8" t="s">
        <v>102</v>
      </c>
      <c r="D6" s="8">
        <v>2021</v>
      </c>
      <c r="E6" s="36" t="s">
        <v>103</v>
      </c>
      <c r="F6" s="7" t="s">
        <v>104</v>
      </c>
      <c r="G6" s="1" t="s">
        <v>105</v>
      </c>
      <c r="H6" s="1" t="s">
        <v>29</v>
      </c>
      <c r="I6" s="8" t="s">
        <v>30</v>
      </c>
      <c r="J6" s="8" t="s">
        <v>106</v>
      </c>
      <c r="K6" s="8" t="s">
        <v>107</v>
      </c>
      <c r="L6" s="8" t="s">
        <v>108</v>
      </c>
      <c r="M6" s="8" t="s">
        <v>109</v>
      </c>
      <c r="N6" s="8" t="s">
        <v>110</v>
      </c>
      <c r="O6" s="8" t="s">
        <v>111</v>
      </c>
      <c r="P6" s="7" t="s">
        <v>37</v>
      </c>
      <c r="Q6" s="8" t="s">
        <v>112</v>
      </c>
      <c r="R6" s="8" t="s">
        <v>113</v>
      </c>
      <c r="S6" s="8" t="s">
        <v>114</v>
      </c>
      <c r="T6" s="8" t="s">
        <v>115</v>
      </c>
      <c r="U6" s="8" t="s">
        <v>116</v>
      </c>
      <c r="V6" s="8" t="s">
        <v>117</v>
      </c>
      <c r="W6" s="8" t="s">
        <v>118</v>
      </c>
    </row>
    <row r="7" spans="1:23" ht="390">
      <c r="A7" s="23" t="s">
        <v>119</v>
      </c>
      <c r="B7" s="1" t="s">
        <v>120</v>
      </c>
      <c r="C7" s="5" t="s">
        <v>121</v>
      </c>
      <c r="D7" s="1">
        <v>2022</v>
      </c>
      <c r="E7" s="36" t="s">
        <v>26</v>
      </c>
      <c r="F7" s="8" t="s">
        <v>49</v>
      </c>
      <c r="G7" s="1" t="s">
        <v>122</v>
      </c>
      <c r="H7" s="1" t="s">
        <v>51</v>
      </c>
      <c r="I7" s="8" t="s">
        <v>30</v>
      </c>
      <c r="J7" s="1" t="s">
        <v>123</v>
      </c>
      <c r="K7" s="15" t="s">
        <v>124</v>
      </c>
      <c r="L7" s="1" t="s">
        <v>125</v>
      </c>
      <c r="M7" s="1" t="s">
        <v>126</v>
      </c>
      <c r="N7" s="1" t="s">
        <v>127</v>
      </c>
      <c r="O7" s="1" t="s">
        <v>128</v>
      </c>
      <c r="P7" s="1" t="s">
        <v>37</v>
      </c>
      <c r="Q7" s="1" t="s">
        <v>129</v>
      </c>
      <c r="R7" s="1" t="s">
        <v>58</v>
      </c>
      <c r="S7" s="1" t="s">
        <v>130</v>
      </c>
      <c r="T7" s="1" t="s">
        <v>131</v>
      </c>
      <c r="U7" s="1" t="s">
        <v>132</v>
      </c>
      <c r="V7" s="1" t="s">
        <v>133</v>
      </c>
      <c r="W7" s="1" t="s">
        <v>134</v>
      </c>
    </row>
    <row r="8" spans="1:23" ht="409.5">
      <c r="A8" s="21" t="s">
        <v>135</v>
      </c>
      <c r="B8" s="8" t="s">
        <v>136</v>
      </c>
      <c r="C8" s="9" t="s">
        <v>137</v>
      </c>
      <c r="D8" s="8">
        <v>2014</v>
      </c>
      <c r="E8" s="36" t="s">
        <v>26</v>
      </c>
      <c r="F8" s="8" t="s">
        <v>49</v>
      </c>
      <c r="G8" s="1" t="s">
        <v>86</v>
      </c>
      <c r="H8" s="1" t="s">
        <v>51</v>
      </c>
      <c r="I8" s="8" t="s">
        <v>30</v>
      </c>
      <c r="J8" s="8" t="s">
        <v>138</v>
      </c>
      <c r="K8" s="8" t="s">
        <v>139</v>
      </c>
      <c r="L8" s="8" t="s">
        <v>140</v>
      </c>
      <c r="M8" s="8" t="s">
        <v>141</v>
      </c>
      <c r="N8" s="8" t="s">
        <v>142</v>
      </c>
      <c r="O8" s="8" t="s">
        <v>143</v>
      </c>
      <c r="P8" s="8" t="s">
        <v>37</v>
      </c>
      <c r="Q8" s="8" t="s">
        <v>144</v>
      </c>
      <c r="R8" s="8" t="s">
        <v>58</v>
      </c>
      <c r="S8" s="8" t="s">
        <v>145</v>
      </c>
      <c r="T8" s="8" t="s">
        <v>146</v>
      </c>
      <c r="U8" s="8" t="s">
        <v>147</v>
      </c>
      <c r="V8" s="8" t="s">
        <v>133</v>
      </c>
      <c r="W8" s="8" t="s">
        <v>148</v>
      </c>
    </row>
    <row r="9" spans="1:23" ht="409.5">
      <c r="A9" s="21" t="s">
        <v>149</v>
      </c>
      <c r="B9" s="8" t="s">
        <v>150</v>
      </c>
      <c r="C9" s="9" t="s">
        <v>151</v>
      </c>
      <c r="D9" s="8">
        <v>2014</v>
      </c>
      <c r="E9" s="36" t="s">
        <v>26</v>
      </c>
      <c r="F9" s="8" t="s">
        <v>49</v>
      </c>
      <c r="G9" s="1" t="s">
        <v>152</v>
      </c>
      <c r="H9" s="1" t="s">
        <v>51</v>
      </c>
      <c r="I9" s="8" t="s">
        <v>30</v>
      </c>
      <c r="J9" s="8" t="s">
        <v>153</v>
      </c>
      <c r="K9" s="8" t="s">
        <v>154</v>
      </c>
      <c r="L9" s="8" t="s">
        <v>155</v>
      </c>
      <c r="M9" s="8" t="s">
        <v>156</v>
      </c>
      <c r="N9" s="8" t="s">
        <v>157</v>
      </c>
      <c r="O9" s="8" t="s">
        <v>158</v>
      </c>
      <c r="P9" s="8" t="s">
        <v>37</v>
      </c>
      <c r="Q9" s="8" t="s">
        <v>159</v>
      </c>
      <c r="R9" s="8" t="s">
        <v>58</v>
      </c>
      <c r="S9" s="8" t="s">
        <v>160</v>
      </c>
      <c r="T9" s="8" t="s">
        <v>161</v>
      </c>
      <c r="U9" s="8" t="s">
        <v>162</v>
      </c>
    </row>
    <row r="10" spans="1:23" ht="345">
      <c r="A10" s="26" t="s">
        <v>163</v>
      </c>
      <c r="B10" s="8" t="s">
        <v>164</v>
      </c>
      <c r="C10" s="8" t="s">
        <v>165</v>
      </c>
      <c r="D10" s="8">
        <v>2015</v>
      </c>
      <c r="E10" s="36" t="s">
        <v>26</v>
      </c>
      <c r="F10" s="8" t="s">
        <v>49</v>
      </c>
      <c r="G10" s="1" t="s">
        <v>166</v>
      </c>
      <c r="H10" s="1" t="s">
        <v>51</v>
      </c>
      <c r="I10" s="8" t="s">
        <v>30</v>
      </c>
      <c r="J10" s="8" t="s">
        <v>167</v>
      </c>
      <c r="K10" s="8"/>
      <c r="L10" s="8" t="s">
        <v>168</v>
      </c>
      <c r="M10" s="8" t="s">
        <v>169</v>
      </c>
      <c r="N10" s="8" t="s">
        <v>170</v>
      </c>
      <c r="O10" s="8" t="s">
        <v>171</v>
      </c>
      <c r="P10" s="8" t="s">
        <v>37</v>
      </c>
      <c r="Q10" s="8" t="s">
        <v>172</v>
      </c>
      <c r="R10" s="8" t="s">
        <v>173</v>
      </c>
      <c r="S10" s="8" t="s">
        <v>174</v>
      </c>
      <c r="T10" s="8" t="s">
        <v>175</v>
      </c>
      <c r="U10" s="8" t="s">
        <v>176</v>
      </c>
      <c r="V10" s="8" t="s">
        <v>177</v>
      </c>
      <c r="W10" s="8" t="s">
        <v>178</v>
      </c>
    </row>
    <row r="11" spans="1:23" ht="409.5">
      <c r="A11" s="21" t="s">
        <v>179</v>
      </c>
      <c r="B11" s="9" t="s">
        <v>180</v>
      </c>
      <c r="C11" s="9" t="s">
        <v>181</v>
      </c>
      <c r="D11" s="8">
        <v>2018</v>
      </c>
      <c r="E11" s="36" t="s">
        <v>26</v>
      </c>
      <c r="F11" s="8" t="s">
        <v>49</v>
      </c>
      <c r="G11" s="1" t="s">
        <v>182</v>
      </c>
      <c r="H11" s="1" t="s">
        <v>51</v>
      </c>
      <c r="I11" s="8" t="s">
        <v>30</v>
      </c>
      <c r="J11" s="8" t="s">
        <v>183</v>
      </c>
      <c r="K11" s="8" t="s">
        <v>184</v>
      </c>
      <c r="L11" s="8" t="s">
        <v>185</v>
      </c>
      <c r="M11" s="8" t="s">
        <v>186</v>
      </c>
      <c r="N11" s="8" t="s">
        <v>187</v>
      </c>
      <c r="O11" s="8" t="s">
        <v>188</v>
      </c>
      <c r="P11" s="8" t="s">
        <v>37</v>
      </c>
      <c r="Q11" s="8" t="s">
        <v>189</v>
      </c>
      <c r="R11" s="8" t="s">
        <v>190</v>
      </c>
      <c r="S11" s="8" t="s">
        <v>191</v>
      </c>
      <c r="T11" s="8" t="s">
        <v>192</v>
      </c>
      <c r="U11" s="8" t="s">
        <v>193</v>
      </c>
      <c r="V11" s="8" t="s">
        <v>194</v>
      </c>
      <c r="W11" s="8" t="s">
        <v>195</v>
      </c>
    </row>
    <row r="12" spans="1:23" ht="315">
      <c r="A12" s="19" t="s">
        <v>196</v>
      </c>
      <c r="B12" s="8" t="s">
        <v>197</v>
      </c>
      <c r="C12" s="9" t="s">
        <v>198</v>
      </c>
      <c r="D12" s="9">
        <v>2019</v>
      </c>
      <c r="E12" s="36" t="s">
        <v>26</v>
      </c>
      <c r="F12" s="8" t="s">
        <v>49</v>
      </c>
      <c r="G12" s="1" t="s">
        <v>199</v>
      </c>
      <c r="H12" s="1" t="s">
        <v>51</v>
      </c>
      <c r="I12" s="8" t="s">
        <v>30</v>
      </c>
      <c r="J12" s="8" t="s">
        <v>200</v>
      </c>
      <c r="K12" s="8" t="s">
        <v>201</v>
      </c>
      <c r="L12" s="8" t="s">
        <v>202</v>
      </c>
      <c r="M12" s="8" t="s">
        <v>203</v>
      </c>
      <c r="N12" s="8" t="s">
        <v>204</v>
      </c>
      <c r="O12" s="8" t="s">
        <v>205</v>
      </c>
      <c r="P12" s="8" t="s">
        <v>37</v>
      </c>
      <c r="Q12" s="8" t="s">
        <v>206</v>
      </c>
      <c r="R12" s="8" t="s">
        <v>207</v>
      </c>
      <c r="S12" s="8" t="s">
        <v>208</v>
      </c>
      <c r="T12" s="8" t="s">
        <v>209</v>
      </c>
      <c r="U12" s="8" t="s">
        <v>210</v>
      </c>
      <c r="V12" s="8" t="s">
        <v>211</v>
      </c>
      <c r="W12" s="8" t="s">
        <v>212</v>
      </c>
    </row>
    <row r="13" spans="1:23" ht="409.5">
      <c r="A13" s="22" t="s">
        <v>213</v>
      </c>
      <c r="B13" s="7" t="s">
        <v>214</v>
      </c>
      <c r="C13" s="7" t="s">
        <v>215</v>
      </c>
      <c r="D13" s="7">
        <v>2018</v>
      </c>
      <c r="E13" s="36" t="s">
        <v>26</v>
      </c>
      <c r="F13" s="8" t="s">
        <v>27</v>
      </c>
      <c r="G13" s="1" t="s">
        <v>216</v>
      </c>
      <c r="H13" s="1" t="s">
        <v>51</v>
      </c>
      <c r="I13" s="8" t="s">
        <v>30</v>
      </c>
      <c r="J13" s="7" t="s">
        <v>217</v>
      </c>
      <c r="K13" s="17" t="s">
        <v>218</v>
      </c>
      <c r="L13" s="1" t="s">
        <v>219</v>
      </c>
      <c r="M13" s="7"/>
      <c r="N13" s="7" t="s">
        <v>220</v>
      </c>
      <c r="O13" s="7" t="s">
        <v>221</v>
      </c>
      <c r="P13" s="7" t="s">
        <v>222</v>
      </c>
      <c r="Q13" s="7" t="s">
        <v>223</v>
      </c>
      <c r="R13" s="7" t="s">
        <v>224</v>
      </c>
      <c r="S13" s="7" t="s">
        <v>225</v>
      </c>
      <c r="T13" s="7" t="s">
        <v>226</v>
      </c>
      <c r="U13" s="7" t="s">
        <v>227</v>
      </c>
      <c r="V13" s="7" t="s">
        <v>228</v>
      </c>
      <c r="W13" s="7" t="s">
        <v>229</v>
      </c>
    </row>
    <row r="14" spans="1:23" ht="285">
      <c r="A14" s="21" t="s">
        <v>230</v>
      </c>
      <c r="B14" s="8" t="s">
        <v>231</v>
      </c>
      <c r="C14" s="9" t="s">
        <v>232</v>
      </c>
      <c r="D14" s="8">
        <v>2023</v>
      </c>
      <c r="E14" s="36" t="s">
        <v>26</v>
      </c>
      <c r="F14" s="8" t="s">
        <v>49</v>
      </c>
      <c r="G14" s="1" t="s">
        <v>233</v>
      </c>
      <c r="H14" s="1" t="s">
        <v>51</v>
      </c>
      <c r="I14" s="8" t="s">
        <v>30</v>
      </c>
      <c r="J14" s="8" t="s">
        <v>234</v>
      </c>
      <c r="K14" s="15" t="s">
        <v>235</v>
      </c>
      <c r="L14" s="8" t="s">
        <v>236</v>
      </c>
      <c r="M14" s="8" t="s">
        <v>237</v>
      </c>
      <c r="N14" s="8">
        <v>1.0569999999999999</v>
      </c>
      <c r="O14" s="8" t="s">
        <v>111</v>
      </c>
      <c r="P14" s="8" t="s">
        <v>37</v>
      </c>
      <c r="Q14" s="8" t="s">
        <v>238</v>
      </c>
      <c r="R14" s="8" t="s">
        <v>239</v>
      </c>
      <c r="S14" s="8" t="s">
        <v>240</v>
      </c>
      <c r="T14" s="8" t="s">
        <v>241</v>
      </c>
      <c r="U14" s="8" t="s">
        <v>242</v>
      </c>
    </row>
    <row r="15" spans="1:23" ht="409.5">
      <c r="A15" s="23" t="s">
        <v>243</v>
      </c>
      <c r="B15" s="1" t="s">
        <v>244</v>
      </c>
      <c r="C15" s="1" t="s">
        <v>245</v>
      </c>
      <c r="D15" s="1">
        <v>2022</v>
      </c>
      <c r="E15" s="36" t="s">
        <v>26</v>
      </c>
      <c r="F15" s="8" t="s">
        <v>49</v>
      </c>
      <c r="G15" s="1" t="s">
        <v>246</v>
      </c>
      <c r="H15" s="1" t="s">
        <v>51</v>
      </c>
      <c r="I15" s="8" t="s">
        <v>30</v>
      </c>
      <c r="J15" s="1" t="s">
        <v>247</v>
      </c>
      <c r="K15" s="1" t="s">
        <v>248</v>
      </c>
      <c r="L15" s="1" t="s">
        <v>249</v>
      </c>
      <c r="M15" s="1"/>
      <c r="N15" s="1" t="s">
        <v>250</v>
      </c>
      <c r="O15" s="1" t="s">
        <v>251</v>
      </c>
      <c r="P15" s="1" t="s">
        <v>252</v>
      </c>
      <c r="Q15" s="1" t="s">
        <v>37</v>
      </c>
      <c r="R15" s="1" t="s">
        <v>253</v>
      </c>
      <c r="S15" s="1" t="s">
        <v>254</v>
      </c>
      <c r="T15" s="1" t="s">
        <v>255</v>
      </c>
      <c r="U15" s="1" t="s">
        <v>256</v>
      </c>
      <c r="V15" s="1" t="s">
        <v>257</v>
      </c>
      <c r="W15" s="1" t="s">
        <v>118</v>
      </c>
    </row>
    <row r="16" spans="1:23" ht="409.5">
      <c r="A16" s="21" t="s">
        <v>258</v>
      </c>
      <c r="B16" s="7" t="s">
        <v>259</v>
      </c>
      <c r="C16" s="7" t="s">
        <v>260</v>
      </c>
      <c r="D16" s="7">
        <v>2013</v>
      </c>
      <c r="E16" s="36" t="s">
        <v>26</v>
      </c>
      <c r="F16" s="8" t="s">
        <v>27</v>
      </c>
      <c r="G16" s="1" t="s">
        <v>261</v>
      </c>
      <c r="H16" s="1" t="s">
        <v>29</v>
      </c>
      <c r="I16" s="8" t="s">
        <v>30</v>
      </c>
      <c r="J16" s="12" t="s">
        <v>262</v>
      </c>
      <c r="K16" s="12" t="s">
        <v>263</v>
      </c>
      <c r="L16" s="8" t="s">
        <v>264</v>
      </c>
      <c r="M16" s="8" t="s">
        <v>265</v>
      </c>
      <c r="N16" s="7">
        <v>77</v>
      </c>
      <c r="O16" s="7" t="s">
        <v>266</v>
      </c>
      <c r="P16" s="7" t="s">
        <v>37</v>
      </c>
      <c r="Q16" s="7" t="s">
        <v>267</v>
      </c>
      <c r="R16" s="7" t="s">
        <v>268</v>
      </c>
      <c r="S16" s="7" t="s">
        <v>269</v>
      </c>
      <c r="T16" s="7" t="s">
        <v>270</v>
      </c>
      <c r="U16" s="7" t="s">
        <v>271</v>
      </c>
      <c r="V16" s="7" t="s">
        <v>272</v>
      </c>
      <c r="W16" s="7" t="s">
        <v>118</v>
      </c>
    </row>
    <row r="17" spans="1:23" ht="270">
      <c r="A17" s="22" t="s">
        <v>273</v>
      </c>
      <c r="B17" s="7" t="s">
        <v>274</v>
      </c>
      <c r="C17" s="14" t="s">
        <v>275</v>
      </c>
      <c r="D17" s="7">
        <v>2016</v>
      </c>
      <c r="E17" s="36" t="s">
        <v>26</v>
      </c>
      <c r="F17" s="8" t="s">
        <v>27</v>
      </c>
      <c r="G17" s="1" t="s">
        <v>216</v>
      </c>
      <c r="H17" s="1" t="s">
        <v>51</v>
      </c>
      <c r="I17" s="8" t="s">
        <v>30</v>
      </c>
      <c r="J17" s="7" t="s">
        <v>276</v>
      </c>
      <c r="K17" s="7" t="s">
        <v>277</v>
      </c>
      <c r="L17" s="7" t="s">
        <v>278</v>
      </c>
      <c r="M17" s="7" t="s">
        <v>279</v>
      </c>
      <c r="N17" s="7">
        <v>221</v>
      </c>
      <c r="O17" s="7" t="s">
        <v>280</v>
      </c>
      <c r="P17" s="7" t="s">
        <v>37</v>
      </c>
      <c r="Q17" s="7" t="s">
        <v>281</v>
      </c>
      <c r="R17" s="7" t="s">
        <v>282</v>
      </c>
      <c r="S17" s="7" t="s">
        <v>283</v>
      </c>
      <c r="T17" s="7" t="s">
        <v>284</v>
      </c>
      <c r="U17" s="7" t="s">
        <v>285</v>
      </c>
      <c r="V17" s="7" t="s">
        <v>116</v>
      </c>
      <c r="W17" s="7" t="s">
        <v>286</v>
      </c>
    </row>
    <row r="18" spans="1:23" ht="375">
      <c r="A18" s="22" t="s">
        <v>287</v>
      </c>
      <c r="B18" s="7" t="s">
        <v>287</v>
      </c>
      <c r="C18" s="7" t="s">
        <v>288</v>
      </c>
      <c r="D18" s="7">
        <v>2012</v>
      </c>
      <c r="E18" s="36" t="s">
        <v>26</v>
      </c>
      <c r="F18" s="8" t="s">
        <v>27</v>
      </c>
      <c r="G18" s="1" t="s">
        <v>289</v>
      </c>
      <c r="H18" s="1" t="s">
        <v>51</v>
      </c>
      <c r="I18" s="8" t="s">
        <v>30</v>
      </c>
      <c r="J18" s="7" t="s">
        <v>290</v>
      </c>
      <c r="K18" s="7" t="s">
        <v>291</v>
      </c>
      <c r="L18" s="7" t="s">
        <v>292</v>
      </c>
      <c r="M18" s="7" t="s">
        <v>293</v>
      </c>
      <c r="N18" s="7" t="s">
        <v>294</v>
      </c>
      <c r="O18" s="7" t="s">
        <v>111</v>
      </c>
      <c r="P18" s="7" t="s">
        <v>37</v>
      </c>
      <c r="Q18" s="7" t="s">
        <v>295</v>
      </c>
      <c r="R18" s="7" t="s">
        <v>58</v>
      </c>
      <c r="S18" s="7" t="s">
        <v>296</v>
      </c>
      <c r="T18" s="7" t="s">
        <v>297</v>
      </c>
      <c r="U18" s="7" t="s">
        <v>298</v>
      </c>
      <c r="V18" s="7" t="s">
        <v>299</v>
      </c>
      <c r="W18" s="7"/>
    </row>
    <row r="19" spans="1:23" ht="390">
      <c r="A19" s="20" t="s">
        <v>300</v>
      </c>
      <c r="B19" s="7" t="s">
        <v>301</v>
      </c>
      <c r="C19" s="14" t="s">
        <v>302</v>
      </c>
      <c r="D19" s="7">
        <v>2006</v>
      </c>
      <c r="E19" s="36" t="s">
        <v>26</v>
      </c>
      <c r="F19" s="8" t="s">
        <v>49</v>
      </c>
      <c r="G19" s="1" t="s">
        <v>86</v>
      </c>
      <c r="H19" s="1" t="s">
        <v>51</v>
      </c>
      <c r="I19" s="8" t="s">
        <v>30</v>
      </c>
      <c r="J19" s="7" t="s">
        <v>303</v>
      </c>
      <c r="K19" s="7" t="s">
        <v>304</v>
      </c>
      <c r="L19" s="7" t="s">
        <v>305</v>
      </c>
      <c r="M19" s="7" t="s">
        <v>306</v>
      </c>
      <c r="N19" s="7" t="s">
        <v>307</v>
      </c>
      <c r="O19" s="7" t="s">
        <v>308</v>
      </c>
      <c r="P19" s="7" t="s">
        <v>37</v>
      </c>
      <c r="Q19" s="7" t="s">
        <v>309</v>
      </c>
      <c r="R19" s="7" t="s">
        <v>310</v>
      </c>
      <c r="S19" s="7" t="s">
        <v>311</v>
      </c>
      <c r="T19" s="7" t="s">
        <v>312</v>
      </c>
      <c r="U19" s="7" t="s">
        <v>313</v>
      </c>
      <c r="V19" s="7" t="s">
        <v>314</v>
      </c>
      <c r="W19" s="7" t="s">
        <v>315</v>
      </c>
    </row>
    <row r="20" spans="1:23" ht="409.5">
      <c r="A20" s="23" t="s">
        <v>316</v>
      </c>
      <c r="B20" s="1" t="s">
        <v>317</v>
      </c>
      <c r="C20" s="1" t="s">
        <v>318</v>
      </c>
      <c r="D20" s="1">
        <v>2016</v>
      </c>
      <c r="E20" s="36" t="s">
        <v>26</v>
      </c>
      <c r="F20" s="7" t="s">
        <v>104</v>
      </c>
      <c r="G20" s="1" t="s">
        <v>319</v>
      </c>
      <c r="H20" s="1" t="s">
        <v>51</v>
      </c>
      <c r="I20" s="8" t="s">
        <v>30</v>
      </c>
      <c r="J20" s="1" t="s">
        <v>320</v>
      </c>
      <c r="K20" s="18" t="s">
        <v>321</v>
      </c>
      <c r="L20" s="1" t="s">
        <v>322</v>
      </c>
      <c r="M20" s="1" t="s">
        <v>323</v>
      </c>
      <c r="N20" s="1" t="s">
        <v>324</v>
      </c>
      <c r="O20" s="1" t="s">
        <v>325</v>
      </c>
      <c r="P20" s="1">
        <v>71</v>
      </c>
      <c r="Q20" s="1" t="s">
        <v>326</v>
      </c>
      <c r="R20" s="1" t="s">
        <v>327</v>
      </c>
      <c r="S20" s="1" t="s">
        <v>328</v>
      </c>
      <c r="T20" s="1" t="s">
        <v>58</v>
      </c>
      <c r="U20" s="1" t="s">
        <v>329</v>
      </c>
      <c r="V20" s="1" t="s">
        <v>330</v>
      </c>
      <c r="W20" s="1" t="s">
        <v>331</v>
      </c>
    </row>
    <row r="21" spans="1:23" ht="409.5">
      <c r="A21" s="22" t="s">
        <v>332</v>
      </c>
      <c r="B21" s="7" t="s">
        <v>333</v>
      </c>
      <c r="C21" s="7" t="s">
        <v>334</v>
      </c>
      <c r="D21" s="7">
        <v>2015</v>
      </c>
      <c r="E21" s="36" t="s">
        <v>26</v>
      </c>
      <c r="F21" s="7" t="s">
        <v>104</v>
      </c>
      <c r="G21" s="1" t="s">
        <v>335</v>
      </c>
      <c r="H21" s="1" t="s">
        <v>51</v>
      </c>
      <c r="I21" s="8" t="s">
        <v>30</v>
      </c>
      <c r="J21" s="7" t="s">
        <v>336</v>
      </c>
      <c r="K21" s="7" t="s">
        <v>337</v>
      </c>
      <c r="L21" s="7" t="s">
        <v>338</v>
      </c>
      <c r="M21" s="7"/>
      <c r="N21" s="7">
        <v>122</v>
      </c>
      <c r="O21" s="7" t="s">
        <v>339</v>
      </c>
      <c r="P21" s="7" t="s">
        <v>37</v>
      </c>
      <c r="Q21" s="7" t="s">
        <v>340</v>
      </c>
      <c r="R21" s="7" t="s">
        <v>341</v>
      </c>
      <c r="S21" s="7" t="s">
        <v>342</v>
      </c>
      <c r="T21" s="7" t="s">
        <v>343</v>
      </c>
      <c r="U21" s="7" t="s">
        <v>344</v>
      </c>
      <c r="V21" s="7" t="s">
        <v>345</v>
      </c>
      <c r="W21" s="7" t="s">
        <v>346</v>
      </c>
    </row>
    <row r="22" spans="1:23" ht="375">
      <c r="A22" s="22" t="s">
        <v>347</v>
      </c>
      <c r="B22" s="7" t="s">
        <v>347</v>
      </c>
      <c r="C22" s="7" t="s">
        <v>348</v>
      </c>
      <c r="D22" s="7">
        <v>2013</v>
      </c>
      <c r="E22" s="36" t="s">
        <v>26</v>
      </c>
      <c r="F22" s="7" t="s">
        <v>104</v>
      </c>
      <c r="G22" s="1" t="s">
        <v>216</v>
      </c>
      <c r="H22" s="1" t="s">
        <v>51</v>
      </c>
      <c r="I22" s="8" t="s">
        <v>30</v>
      </c>
      <c r="J22" s="7" t="s">
        <v>349</v>
      </c>
      <c r="K22" s="7" t="s">
        <v>350</v>
      </c>
      <c r="L22" s="7" t="s">
        <v>351</v>
      </c>
      <c r="M22" s="7" t="s">
        <v>352</v>
      </c>
      <c r="N22" s="7">
        <v>344</v>
      </c>
      <c r="O22" s="7" t="s">
        <v>353</v>
      </c>
      <c r="P22" s="7" t="s">
        <v>354</v>
      </c>
      <c r="Q22" s="7" t="s">
        <v>355</v>
      </c>
      <c r="R22" s="7" t="s">
        <v>356</v>
      </c>
      <c r="S22" s="7" t="s">
        <v>357</v>
      </c>
      <c r="T22" s="7" t="s">
        <v>358</v>
      </c>
      <c r="U22" s="7" t="s">
        <v>359</v>
      </c>
      <c r="V22" s="7" t="s">
        <v>360</v>
      </c>
      <c r="W22" s="7" t="s">
        <v>361</v>
      </c>
    </row>
    <row r="23" spans="1:23" ht="225">
      <c r="A23" s="22" t="s">
        <v>362</v>
      </c>
      <c r="B23" s="7" t="s">
        <v>363</v>
      </c>
      <c r="C23" s="7" t="s">
        <v>364</v>
      </c>
      <c r="D23" s="7">
        <v>2014</v>
      </c>
      <c r="E23" s="36" t="s">
        <v>26</v>
      </c>
      <c r="F23" s="8" t="s">
        <v>49</v>
      </c>
      <c r="G23" s="1" t="s">
        <v>365</v>
      </c>
      <c r="H23" s="1" t="s">
        <v>366</v>
      </c>
      <c r="I23" s="8" t="s">
        <v>30</v>
      </c>
      <c r="J23" s="7" t="s">
        <v>367</v>
      </c>
      <c r="K23" s="7" t="s">
        <v>368</v>
      </c>
      <c r="L23" s="7" t="s">
        <v>369</v>
      </c>
      <c r="M23" s="7" t="s">
        <v>370</v>
      </c>
      <c r="N23" s="7">
        <v>156</v>
      </c>
      <c r="O23" s="7" t="s">
        <v>371</v>
      </c>
      <c r="P23" s="7" t="s">
        <v>327</v>
      </c>
      <c r="Q23" s="7" t="s">
        <v>372</v>
      </c>
      <c r="R23" s="7" t="s">
        <v>58</v>
      </c>
      <c r="S23" s="7" t="s">
        <v>373</v>
      </c>
      <c r="T23" s="7" t="s">
        <v>374</v>
      </c>
      <c r="U23" s="7" t="s">
        <v>375</v>
      </c>
      <c r="V23" s="7" t="s">
        <v>376</v>
      </c>
      <c r="W23" s="7" t="s">
        <v>377</v>
      </c>
    </row>
    <row r="24" spans="1:23" ht="315">
      <c r="A24" s="23" t="s">
        <v>378</v>
      </c>
      <c r="B24" s="1" t="s">
        <v>379</v>
      </c>
      <c r="C24" s="1" t="s">
        <v>380</v>
      </c>
      <c r="D24" s="1">
        <v>2016</v>
      </c>
      <c r="E24" s="36" t="s">
        <v>26</v>
      </c>
      <c r="F24" s="8" t="s">
        <v>27</v>
      </c>
      <c r="G24" s="1" t="s">
        <v>365</v>
      </c>
      <c r="H24" s="1" t="s">
        <v>366</v>
      </c>
      <c r="I24" s="8" t="s">
        <v>30</v>
      </c>
      <c r="J24" s="1" t="s">
        <v>381</v>
      </c>
      <c r="K24" s="1" t="s">
        <v>382</v>
      </c>
      <c r="L24" s="1" t="s">
        <v>383</v>
      </c>
      <c r="M24" s="1" t="s">
        <v>384</v>
      </c>
      <c r="N24" s="7"/>
      <c r="O24" s="1" t="s">
        <v>385</v>
      </c>
      <c r="P24" s="1" t="s">
        <v>386</v>
      </c>
      <c r="Q24" s="1" t="s">
        <v>75</v>
      </c>
      <c r="R24" s="1" t="s">
        <v>387</v>
      </c>
      <c r="S24" s="1" t="s">
        <v>386</v>
      </c>
      <c r="T24" s="1" t="s">
        <v>388</v>
      </c>
      <c r="U24" s="1" t="s">
        <v>389</v>
      </c>
      <c r="V24" s="1" t="s">
        <v>390</v>
      </c>
      <c r="W24" s="7"/>
    </row>
    <row r="25" spans="1:23" ht="409.5">
      <c r="A25" s="22" t="s">
        <v>391</v>
      </c>
      <c r="B25" s="7" t="s">
        <v>392</v>
      </c>
      <c r="C25" s="7" t="s">
        <v>393</v>
      </c>
      <c r="D25" s="7">
        <v>2017</v>
      </c>
      <c r="E25" s="36" t="s">
        <v>26</v>
      </c>
      <c r="F25" s="8" t="s">
        <v>49</v>
      </c>
      <c r="G25" s="1" t="s">
        <v>365</v>
      </c>
      <c r="H25" s="1" t="s">
        <v>366</v>
      </c>
      <c r="I25" s="8" t="s">
        <v>30</v>
      </c>
      <c r="J25" s="7" t="s">
        <v>394</v>
      </c>
      <c r="K25" s="7" t="s">
        <v>395</v>
      </c>
      <c r="L25" s="7"/>
      <c r="M25" s="7" t="s">
        <v>396</v>
      </c>
      <c r="N25" s="7">
        <v>213</v>
      </c>
      <c r="O25" s="7" t="s">
        <v>397</v>
      </c>
      <c r="P25" s="7" t="s">
        <v>37</v>
      </c>
      <c r="Q25" s="7" t="s">
        <v>398</v>
      </c>
      <c r="R25" s="7" t="s">
        <v>399</v>
      </c>
      <c r="S25" s="7" t="s">
        <v>400</v>
      </c>
      <c r="T25" s="7" t="s">
        <v>401</v>
      </c>
      <c r="U25" s="7" t="s">
        <v>402</v>
      </c>
      <c r="V25" s="7" t="s">
        <v>403</v>
      </c>
      <c r="W25" s="7" t="s">
        <v>404</v>
      </c>
    </row>
    <row r="26" spans="1:23" ht="409.5">
      <c r="A26" s="25" t="s">
        <v>405</v>
      </c>
      <c r="B26" s="7" t="s">
        <v>406</v>
      </c>
      <c r="C26" s="7" t="s">
        <v>407</v>
      </c>
      <c r="D26" s="7">
        <v>2018</v>
      </c>
      <c r="E26" s="36" t="s">
        <v>408</v>
      </c>
      <c r="F26" s="7" t="s">
        <v>104</v>
      </c>
      <c r="G26" s="228" t="s">
        <v>409</v>
      </c>
      <c r="H26" s="1" t="s">
        <v>51</v>
      </c>
      <c r="I26" s="8" t="s">
        <v>30</v>
      </c>
      <c r="J26" s="7" t="s">
        <v>410</v>
      </c>
      <c r="K26" t="s">
        <v>411</v>
      </c>
      <c r="L26" s="7"/>
      <c r="M26" s="7"/>
      <c r="N26" s="7" t="s">
        <v>412</v>
      </c>
      <c r="O26" s="7" t="s">
        <v>413</v>
      </c>
      <c r="P26" s="7">
        <v>95</v>
      </c>
      <c r="Q26" s="7" t="s">
        <v>414</v>
      </c>
      <c r="R26" s="7" t="s">
        <v>354</v>
      </c>
      <c r="S26" s="7" t="s">
        <v>415</v>
      </c>
      <c r="T26" s="7" t="s">
        <v>416</v>
      </c>
      <c r="U26" s="7" t="s">
        <v>417</v>
      </c>
      <c r="V26" s="7" t="s">
        <v>418</v>
      </c>
      <c r="W26" s="7" t="s">
        <v>419</v>
      </c>
    </row>
    <row r="27" spans="1:23" ht="195">
      <c r="A27" s="22" t="s">
        <v>420</v>
      </c>
      <c r="B27" s="7" t="s">
        <v>421</v>
      </c>
      <c r="C27" s="13" t="s">
        <v>422</v>
      </c>
      <c r="D27" s="7">
        <v>2019</v>
      </c>
      <c r="E27" s="36" t="s">
        <v>48</v>
      </c>
      <c r="F27" s="8" t="s">
        <v>27</v>
      </c>
      <c r="G27" s="228" t="s">
        <v>423</v>
      </c>
      <c r="H27" s="1" t="s">
        <v>51</v>
      </c>
      <c r="I27" s="8" t="s">
        <v>30</v>
      </c>
      <c r="J27" s="7" t="s">
        <v>424</v>
      </c>
      <c r="K27" s="17" t="s">
        <v>425</v>
      </c>
      <c r="L27" s="7" t="s">
        <v>426</v>
      </c>
      <c r="M27" s="7" t="s">
        <v>427</v>
      </c>
      <c r="N27" s="7" t="s">
        <v>428</v>
      </c>
      <c r="O27" s="7" t="s">
        <v>429</v>
      </c>
      <c r="P27" s="7" t="s">
        <v>37</v>
      </c>
      <c r="Q27" s="7" t="s">
        <v>430</v>
      </c>
      <c r="R27" s="7" t="s">
        <v>431</v>
      </c>
      <c r="S27" s="7" t="s">
        <v>432</v>
      </c>
      <c r="T27" s="7" t="s">
        <v>433</v>
      </c>
      <c r="U27" s="7" t="s">
        <v>434</v>
      </c>
      <c r="V27" s="7" t="s">
        <v>435</v>
      </c>
      <c r="W27" s="7" t="s">
        <v>436</v>
      </c>
    </row>
    <row r="28" spans="1:23" ht="409.5">
      <c r="A28" s="23" t="s">
        <v>437</v>
      </c>
      <c r="B28" s="1" t="s">
        <v>438</v>
      </c>
      <c r="C28" s="1" t="s">
        <v>439</v>
      </c>
      <c r="D28" s="1">
        <v>2023</v>
      </c>
      <c r="E28" s="36" t="s">
        <v>26</v>
      </c>
      <c r="F28" s="8" t="s">
        <v>27</v>
      </c>
      <c r="G28" s="1" t="s">
        <v>440</v>
      </c>
      <c r="H28" s="1" t="s">
        <v>51</v>
      </c>
      <c r="I28" s="8" t="s">
        <v>30</v>
      </c>
      <c r="J28" s="1" t="s">
        <v>441</v>
      </c>
      <c r="K28" s="15" t="s">
        <v>442</v>
      </c>
      <c r="L28" s="1" t="s">
        <v>443</v>
      </c>
      <c r="M28" s="1" t="s">
        <v>444</v>
      </c>
      <c r="N28" s="1" t="s">
        <v>445</v>
      </c>
      <c r="O28" s="1" t="s">
        <v>446</v>
      </c>
      <c r="P28" s="1" t="s">
        <v>37</v>
      </c>
      <c r="Q28" s="1" t="s">
        <v>447</v>
      </c>
      <c r="R28" s="1" t="s">
        <v>448</v>
      </c>
      <c r="S28" s="1" t="s">
        <v>449</v>
      </c>
      <c r="T28" s="1" t="s">
        <v>450</v>
      </c>
      <c r="U28" s="1" t="s">
        <v>451</v>
      </c>
      <c r="V28" s="1" t="s">
        <v>62</v>
      </c>
      <c r="W28" s="1" t="s">
        <v>452</v>
      </c>
    </row>
    <row r="29" spans="1:23" ht="409.5">
      <c r="A29" s="22" t="s">
        <v>453</v>
      </c>
      <c r="B29" s="7" t="s">
        <v>454</v>
      </c>
      <c r="C29" s="14" t="s">
        <v>455</v>
      </c>
      <c r="D29" s="7">
        <v>2023</v>
      </c>
      <c r="E29" s="36" t="s">
        <v>26</v>
      </c>
      <c r="F29" s="8" t="s">
        <v>27</v>
      </c>
      <c r="G29" s="1" t="s">
        <v>456</v>
      </c>
      <c r="H29" s="1" t="s">
        <v>29</v>
      </c>
      <c r="I29" s="8" t="s">
        <v>30</v>
      </c>
      <c r="J29" s="7" t="s">
        <v>457</v>
      </c>
      <c r="K29" s="16" t="s">
        <v>458</v>
      </c>
      <c r="L29" s="7" t="s">
        <v>459</v>
      </c>
      <c r="M29" s="7" t="s">
        <v>460</v>
      </c>
      <c r="N29" s="7">
        <v>1415</v>
      </c>
      <c r="O29" s="7" t="s">
        <v>461</v>
      </c>
      <c r="P29" s="7" t="s">
        <v>37</v>
      </c>
      <c r="Q29" s="7" t="s">
        <v>462</v>
      </c>
      <c r="R29" s="7" t="s">
        <v>463</v>
      </c>
      <c r="S29" s="7" t="s">
        <v>464</v>
      </c>
      <c r="T29" s="7" t="s">
        <v>465</v>
      </c>
      <c r="U29" s="7" t="s">
        <v>466</v>
      </c>
      <c r="V29" s="7" t="s">
        <v>467</v>
      </c>
      <c r="W29" s="7" t="s">
        <v>468</v>
      </c>
    </row>
    <row r="30" spans="1:23" ht="409.5">
      <c r="A30" s="8" t="s">
        <v>469</v>
      </c>
      <c r="B30" s="8" t="s">
        <v>470</v>
      </c>
      <c r="C30" s="9" t="s">
        <v>471</v>
      </c>
      <c r="D30" s="8">
        <v>2022</v>
      </c>
      <c r="E30" s="36" t="s">
        <v>26</v>
      </c>
      <c r="F30" s="8" t="s">
        <v>27</v>
      </c>
      <c r="G30" s="1" t="s">
        <v>365</v>
      </c>
      <c r="H30" s="1" t="s">
        <v>366</v>
      </c>
      <c r="I30" s="8" t="s">
        <v>30</v>
      </c>
      <c r="J30" s="8"/>
      <c r="K30" s="8" t="s">
        <v>472</v>
      </c>
      <c r="L30" s="8" t="s">
        <v>473</v>
      </c>
      <c r="M30" s="8" t="s">
        <v>474</v>
      </c>
      <c r="N30" s="8" t="s">
        <v>475</v>
      </c>
      <c r="O30" s="8" t="s">
        <v>476</v>
      </c>
      <c r="P30" s="8" t="s">
        <v>477</v>
      </c>
      <c r="Q30" s="36" t="s">
        <v>478</v>
      </c>
      <c r="R30" s="36" t="s">
        <v>479</v>
      </c>
      <c r="S30" s="36" t="s">
        <v>480</v>
      </c>
      <c r="T30" s="8" t="s">
        <v>481</v>
      </c>
      <c r="U30" s="8" t="s">
        <v>482</v>
      </c>
      <c r="V30" s="8"/>
      <c r="W30" s="8"/>
    </row>
    <row r="31" spans="1:23" ht="240">
      <c r="A31" s="22" t="s">
        <v>483</v>
      </c>
      <c r="B31" s="7" t="s">
        <v>484</v>
      </c>
      <c r="C31" s="7" t="s">
        <v>485</v>
      </c>
      <c r="D31" s="7">
        <v>2023</v>
      </c>
      <c r="E31" s="36" t="s">
        <v>26</v>
      </c>
      <c r="F31" s="8" t="s">
        <v>27</v>
      </c>
      <c r="G31" s="1" t="s">
        <v>486</v>
      </c>
      <c r="H31" s="1" t="s">
        <v>51</v>
      </c>
      <c r="I31" s="8" t="s">
        <v>30</v>
      </c>
      <c r="J31" s="7" t="s">
        <v>487</v>
      </c>
      <c r="K31" s="16" t="s">
        <v>488</v>
      </c>
      <c r="L31" s="7" t="s">
        <v>489</v>
      </c>
      <c r="M31" s="7" t="s">
        <v>490</v>
      </c>
      <c r="N31" s="7" t="s">
        <v>491</v>
      </c>
      <c r="O31" s="7" t="s">
        <v>492</v>
      </c>
      <c r="P31" s="7" t="s">
        <v>75</v>
      </c>
      <c r="Q31" s="7" t="s">
        <v>493</v>
      </c>
      <c r="R31" s="7" t="s">
        <v>494</v>
      </c>
      <c r="S31" s="7" t="s">
        <v>495</v>
      </c>
      <c r="T31" s="7" t="s">
        <v>496</v>
      </c>
      <c r="U31" s="7" t="s">
        <v>497</v>
      </c>
      <c r="V31" s="7" t="s">
        <v>498</v>
      </c>
      <c r="W31" s="7" t="s">
        <v>499</v>
      </c>
    </row>
    <row r="32" spans="1:23" ht="409.5">
      <c r="A32" s="22" t="s">
        <v>500</v>
      </c>
      <c r="B32" s="7" t="s">
        <v>501</v>
      </c>
      <c r="C32" s="7" t="s">
        <v>502</v>
      </c>
      <c r="D32" s="7">
        <v>2022</v>
      </c>
      <c r="E32" s="36" t="s">
        <v>26</v>
      </c>
      <c r="F32" s="7" t="s">
        <v>104</v>
      </c>
      <c r="G32" s="1" t="s">
        <v>503</v>
      </c>
      <c r="H32" s="1" t="s">
        <v>504</v>
      </c>
      <c r="I32" s="7" t="s">
        <v>505</v>
      </c>
      <c r="J32" s="7" t="s">
        <v>506</v>
      </c>
      <c r="K32" s="7" t="s">
        <v>507</v>
      </c>
      <c r="L32" s="7" t="s">
        <v>508</v>
      </c>
      <c r="M32" s="7" t="s">
        <v>509</v>
      </c>
      <c r="N32" s="7">
        <v>174</v>
      </c>
      <c r="O32" s="7"/>
      <c r="P32" s="7" t="s">
        <v>510</v>
      </c>
      <c r="Q32" s="7" t="s">
        <v>511</v>
      </c>
      <c r="R32" s="8" t="s">
        <v>512</v>
      </c>
      <c r="S32" s="8" t="s">
        <v>513</v>
      </c>
      <c r="T32" s="8" t="s">
        <v>514</v>
      </c>
      <c r="U32" s="8" t="s">
        <v>515</v>
      </c>
      <c r="V32" s="8" t="s">
        <v>516</v>
      </c>
      <c r="W32" s="8" t="s">
        <v>286</v>
      </c>
    </row>
    <row r="33" spans="1:27" ht="375">
      <c r="A33" s="21" t="s">
        <v>517</v>
      </c>
      <c r="B33" s="1" t="s">
        <v>518</v>
      </c>
      <c r="C33" s="9" t="s">
        <v>519</v>
      </c>
      <c r="D33" s="8">
        <v>2022</v>
      </c>
      <c r="E33" s="36" t="s">
        <v>26</v>
      </c>
      <c r="F33" s="7" t="s">
        <v>104</v>
      </c>
      <c r="G33" s="1" t="s">
        <v>365</v>
      </c>
      <c r="H33" s="1" t="s">
        <v>366</v>
      </c>
      <c r="I33" s="1" t="s">
        <v>30</v>
      </c>
      <c r="J33" s="8" t="s">
        <v>520</v>
      </c>
      <c r="K33" s="8" t="s">
        <v>521</v>
      </c>
      <c r="L33" s="8" t="s">
        <v>522</v>
      </c>
      <c r="M33" s="8" t="s">
        <v>523</v>
      </c>
      <c r="N33" s="8">
        <v>211</v>
      </c>
      <c r="O33" s="8" t="s">
        <v>524</v>
      </c>
      <c r="P33" s="8" t="s">
        <v>525</v>
      </c>
      <c r="Q33" s="8" t="s">
        <v>526</v>
      </c>
      <c r="R33" s="8" t="s">
        <v>527</v>
      </c>
      <c r="S33" s="8" t="s">
        <v>400</v>
      </c>
      <c r="T33" s="8" t="s">
        <v>528</v>
      </c>
      <c r="U33" s="8" t="s">
        <v>529</v>
      </c>
      <c r="V33" s="8" t="s">
        <v>530</v>
      </c>
      <c r="W33" s="8" t="s">
        <v>531</v>
      </c>
      <c r="X33" s="7"/>
      <c r="AA33" s="8"/>
    </row>
    <row r="34" spans="1:27" ht="270">
      <c r="A34" s="22" t="s">
        <v>532</v>
      </c>
      <c r="B34" s="1" t="s">
        <v>533</v>
      </c>
      <c r="C34" s="1" t="s">
        <v>534</v>
      </c>
      <c r="D34" s="1">
        <v>2023</v>
      </c>
      <c r="E34" s="36" t="s">
        <v>26</v>
      </c>
      <c r="F34" s="8" t="s">
        <v>49</v>
      </c>
      <c r="G34" s="1" t="s">
        <v>67</v>
      </c>
      <c r="H34" s="1" t="s">
        <v>68</v>
      </c>
      <c r="I34" s="1" t="s">
        <v>30</v>
      </c>
      <c r="J34" s="1" t="s">
        <v>535</v>
      </c>
      <c r="K34" s="1" t="s">
        <v>536</v>
      </c>
      <c r="L34" s="1" t="s">
        <v>286</v>
      </c>
      <c r="M34" s="1" t="s">
        <v>537</v>
      </c>
      <c r="N34" s="1"/>
      <c r="O34" s="1">
        <v>278</v>
      </c>
      <c r="P34" s="1" t="s">
        <v>538</v>
      </c>
      <c r="Q34" s="1" t="s">
        <v>37</v>
      </c>
      <c r="R34" s="1" t="s">
        <v>493</v>
      </c>
      <c r="S34" s="1" t="s">
        <v>539</v>
      </c>
      <c r="T34" s="1" t="s">
        <v>540</v>
      </c>
      <c r="U34" s="1" t="s">
        <v>541</v>
      </c>
      <c r="V34" s="1" t="s">
        <v>542</v>
      </c>
      <c r="W34" s="1" t="s">
        <v>543</v>
      </c>
      <c r="AA34" s="8"/>
    </row>
    <row r="35" spans="1:27" ht="165">
      <c r="A35" s="32" t="s">
        <v>544</v>
      </c>
      <c r="B35" s="33" t="s">
        <v>545</v>
      </c>
      <c r="C35" s="9" t="s">
        <v>546</v>
      </c>
      <c r="D35" s="225">
        <v>2022</v>
      </c>
      <c r="E35" s="31" t="s">
        <v>547</v>
      </c>
      <c r="F35" s="8" t="s">
        <v>49</v>
      </c>
      <c r="G35" s="2" t="s">
        <v>548</v>
      </c>
      <c r="H35" s="1" t="s">
        <v>51</v>
      </c>
      <c r="I35" s="225" t="s">
        <v>549</v>
      </c>
      <c r="J35" s="225" t="s">
        <v>550</v>
      </c>
      <c r="K35" s="225" t="s">
        <v>551</v>
      </c>
      <c r="L35" s="225" t="s">
        <v>552</v>
      </c>
      <c r="M35" s="225" t="s">
        <v>553</v>
      </c>
      <c r="N35" s="225">
        <v>111</v>
      </c>
      <c r="O35" s="225" t="s">
        <v>554</v>
      </c>
      <c r="P35" s="225" t="s">
        <v>555</v>
      </c>
      <c r="Q35" s="225" t="s">
        <v>556</v>
      </c>
      <c r="R35" s="225" t="s">
        <v>557</v>
      </c>
      <c r="S35" s="225" t="s">
        <v>558</v>
      </c>
      <c r="T35" s="225" t="s">
        <v>559</v>
      </c>
      <c r="U35" s="225" t="s">
        <v>560</v>
      </c>
      <c r="V35" s="225" t="s">
        <v>62</v>
      </c>
      <c r="W35" s="225" t="s">
        <v>561</v>
      </c>
      <c r="Y35" s="9"/>
      <c r="AA35" s="8"/>
    </row>
    <row r="36" spans="1:27" ht="409.5">
      <c r="A36" s="22" t="s">
        <v>562</v>
      </c>
      <c r="B36" s="7" t="s">
        <v>563</v>
      </c>
      <c r="C36" s="7" t="s">
        <v>564</v>
      </c>
      <c r="D36" s="7">
        <v>2021</v>
      </c>
      <c r="E36" s="36" t="s">
        <v>26</v>
      </c>
      <c r="F36" s="8" t="s">
        <v>27</v>
      </c>
      <c r="G36" s="1" t="s">
        <v>565</v>
      </c>
      <c r="H36" s="1" t="s">
        <v>51</v>
      </c>
      <c r="I36" s="8" t="s">
        <v>30</v>
      </c>
      <c r="J36" s="7" t="s">
        <v>566</v>
      </c>
      <c r="K36" s="7" t="s">
        <v>567</v>
      </c>
      <c r="L36" s="7" t="s">
        <v>568</v>
      </c>
      <c r="M36" s="7" t="s">
        <v>569</v>
      </c>
      <c r="N36" s="7" t="s">
        <v>570</v>
      </c>
      <c r="O36" s="7" t="s">
        <v>571</v>
      </c>
      <c r="P36" s="7" t="s">
        <v>572</v>
      </c>
      <c r="Q36" s="7" t="s">
        <v>327</v>
      </c>
      <c r="R36" s="8" t="s">
        <v>573</v>
      </c>
      <c r="S36" s="7" t="s">
        <v>574</v>
      </c>
      <c r="T36" s="7" t="s">
        <v>575</v>
      </c>
      <c r="U36" s="7" t="s">
        <v>576</v>
      </c>
      <c r="V36" s="7" t="s">
        <v>577</v>
      </c>
      <c r="W36" s="7" t="s">
        <v>578</v>
      </c>
      <c r="Y36" s="225"/>
      <c r="AA36" s="8"/>
    </row>
    <row r="37" spans="1:27" ht="409.5">
      <c r="A37" s="22" t="s">
        <v>579</v>
      </c>
      <c r="B37" s="7" t="s">
        <v>580</v>
      </c>
      <c r="C37" s="7" t="s">
        <v>581</v>
      </c>
      <c r="D37" s="7">
        <v>2015</v>
      </c>
      <c r="E37" s="36" t="s">
        <v>26</v>
      </c>
      <c r="F37" s="8" t="s">
        <v>49</v>
      </c>
      <c r="G37" s="1" t="s">
        <v>548</v>
      </c>
      <c r="H37" s="1" t="s">
        <v>51</v>
      </c>
      <c r="I37" s="8" t="s">
        <v>30</v>
      </c>
      <c r="J37" s="12" t="s">
        <v>582</v>
      </c>
      <c r="K37" s="12" t="s">
        <v>583</v>
      </c>
      <c r="L37" s="8" t="s">
        <v>584</v>
      </c>
      <c r="M37" s="8" t="s">
        <v>585</v>
      </c>
      <c r="N37" s="7">
        <v>463</v>
      </c>
      <c r="O37" s="7" t="s">
        <v>280</v>
      </c>
      <c r="P37" s="7" t="s">
        <v>586</v>
      </c>
      <c r="Q37" s="7" t="s">
        <v>587</v>
      </c>
      <c r="R37" s="7" t="s">
        <v>58</v>
      </c>
      <c r="S37" s="7" t="s">
        <v>588</v>
      </c>
      <c r="T37" s="7" t="s">
        <v>589</v>
      </c>
      <c r="U37" s="7" t="s">
        <v>590</v>
      </c>
      <c r="V37" s="7" t="s">
        <v>591</v>
      </c>
      <c r="W37" s="7" t="s">
        <v>592</v>
      </c>
      <c r="Y37" s="8"/>
      <c r="AA37" s="8"/>
    </row>
    <row r="38" spans="1:27" ht="120">
      <c r="A38" s="23" t="s">
        <v>593</v>
      </c>
      <c r="B38" s="1" t="s">
        <v>594</v>
      </c>
      <c r="C38" s="5" t="s">
        <v>595</v>
      </c>
      <c r="D38" s="1">
        <v>2020</v>
      </c>
      <c r="E38" s="6" t="s">
        <v>48</v>
      </c>
      <c r="F38" s="7" t="s">
        <v>104</v>
      </c>
      <c r="G38" s="1" t="s">
        <v>596</v>
      </c>
      <c r="H38" s="1" t="s">
        <v>51</v>
      </c>
      <c r="I38" s="7" t="s">
        <v>505</v>
      </c>
      <c r="J38" s="1" t="s">
        <v>597</v>
      </c>
      <c r="K38" s="1" t="s">
        <v>411</v>
      </c>
      <c r="L38" s="1"/>
      <c r="M38" s="1"/>
      <c r="N38" s="1" t="s">
        <v>598</v>
      </c>
      <c r="O38" s="1" t="s">
        <v>599</v>
      </c>
      <c r="P38" s="1" t="s">
        <v>37</v>
      </c>
      <c r="Q38" s="1" t="s">
        <v>600</v>
      </c>
      <c r="R38" s="1" t="s">
        <v>601</v>
      </c>
      <c r="S38" s="1" t="s">
        <v>602</v>
      </c>
      <c r="T38" s="1" t="s">
        <v>603</v>
      </c>
      <c r="U38" s="1" t="s">
        <v>604</v>
      </c>
      <c r="V38" s="1" t="s">
        <v>605</v>
      </c>
      <c r="W38" s="1" t="s">
        <v>286</v>
      </c>
      <c r="Y38" s="225"/>
      <c r="AA38" s="8"/>
    </row>
    <row r="39" spans="1:27" ht="165">
      <c r="A39" s="29" t="s">
        <v>606</v>
      </c>
      <c r="B39" s="29" t="s">
        <v>607</v>
      </c>
      <c r="C39" s="35" t="s">
        <v>608</v>
      </c>
      <c r="D39" s="29">
        <v>2022</v>
      </c>
      <c r="E39" s="31" t="s">
        <v>547</v>
      </c>
      <c r="F39" s="7" t="s">
        <v>104</v>
      </c>
      <c r="G39" s="29" t="s">
        <v>609</v>
      </c>
      <c r="H39" s="1" t="s">
        <v>51</v>
      </c>
      <c r="I39" s="29" t="s">
        <v>549</v>
      </c>
      <c r="J39" s="29" t="s">
        <v>610</v>
      </c>
      <c r="K39" s="29" t="s">
        <v>611</v>
      </c>
      <c r="L39" s="29"/>
      <c r="M39" s="29"/>
      <c r="N39" s="29"/>
      <c r="O39" s="29" t="s">
        <v>326</v>
      </c>
      <c r="P39" s="29" t="s">
        <v>37</v>
      </c>
      <c r="Q39" s="29"/>
      <c r="R39" s="29"/>
      <c r="S39" s="29"/>
      <c r="T39" s="29"/>
      <c r="U39" s="29"/>
      <c r="V39" s="29"/>
      <c r="W39" s="29"/>
      <c r="Y39" s="225"/>
      <c r="AA39" s="8"/>
    </row>
    <row r="40" spans="1:27" ht="409.5">
      <c r="A40" s="37" t="s">
        <v>612</v>
      </c>
      <c r="B40" s="7" t="s">
        <v>613</v>
      </c>
      <c r="C40" s="7" t="s">
        <v>614</v>
      </c>
      <c r="D40" s="7">
        <v>2020</v>
      </c>
      <c r="E40" s="36" t="s">
        <v>26</v>
      </c>
      <c r="F40" s="7" t="s">
        <v>104</v>
      </c>
      <c r="G40" s="1" t="s">
        <v>615</v>
      </c>
      <c r="H40" s="1" t="s">
        <v>616</v>
      </c>
      <c r="I40" s="7" t="s">
        <v>505</v>
      </c>
      <c r="J40" s="7" t="s">
        <v>617</v>
      </c>
      <c r="K40" s="7" t="s">
        <v>107</v>
      </c>
      <c r="L40" s="7" t="s">
        <v>618</v>
      </c>
      <c r="M40" s="7" t="s">
        <v>619</v>
      </c>
      <c r="N40" s="7" t="s">
        <v>620</v>
      </c>
      <c r="O40" s="7" t="s">
        <v>621</v>
      </c>
      <c r="P40" s="7">
        <v>45</v>
      </c>
      <c r="Q40" s="7" t="s">
        <v>622</v>
      </c>
      <c r="R40" s="7" t="s">
        <v>75</v>
      </c>
      <c r="S40" s="7" t="s">
        <v>623</v>
      </c>
      <c r="T40" s="7" t="s">
        <v>624</v>
      </c>
      <c r="U40" s="7" t="s">
        <v>625</v>
      </c>
      <c r="V40" s="7" t="s">
        <v>626</v>
      </c>
      <c r="W40" s="7" t="s">
        <v>627</v>
      </c>
      <c r="Y40" s="225"/>
      <c r="AA40" s="8"/>
    </row>
    <row r="41" spans="1:27" ht="240">
      <c r="A41" s="23" t="s">
        <v>628</v>
      </c>
      <c r="B41" s="1" t="s">
        <v>629</v>
      </c>
      <c r="C41" s="1" t="s">
        <v>630</v>
      </c>
      <c r="D41" s="1">
        <v>2017</v>
      </c>
      <c r="E41" s="36" t="s">
        <v>26</v>
      </c>
      <c r="F41" s="8" t="s">
        <v>27</v>
      </c>
      <c r="G41" s="1" t="s">
        <v>631</v>
      </c>
      <c r="H41" s="1" t="s">
        <v>68</v>
      </c>
      <c r="I41" s="8" t="s">
        <v>30</v>
      </c>
      <c r="J41" s="1" t="s">
        <v>632</v>
      </c>
      <c r="K41" s="1" t="s">
        <v>368</v>
      </c>
      <c r="L41" s="1" t="s">
        <v>633</v>
      </c>
      <c r="M41" s="1" t="s">
        <v>634</v>
      </c>
      <c r="N41" s="1">
        <v>149</v>
      </c>
      <c r="O41" s="1" t="s">
        <v>280</v>
      </c>
      <c r="P41" s="1" t="s">
        <v>37</v>
      </c>
      <c r="Q41" s="1" t="s">
        <v>635</v>
      </c>
      <c r="R41" s="1" t="s">
        <v>58</v>
      </c>
      <c r="S41" s="1" t="s">
        <v>636</v>
      </c>
      <c r="T41" s="1" t="s">
        <v>637</v>
      </c>
      <c r="U41" s="1" t="s">
        <v>638</v>
      </c>
      <c r="V41" s="1" t="s">
        <v>639</v>
      </c>
      <c r="W41" s="1" t="s">
        <v>286</v>
      </c>
      <c r="Y41" s="225"/>
      <c r="AA41" s="8"/>
    </row>
    <row r="42" spans="1:27" ht="390">
      <c r="A42" t="s">
        <v>640</v>
      </c>
      <c r="B42" s="1" t="s">
        <v>641</v>
      </c>
      <c r="C42" s="1" t="s">
        <v>642</v>
      </c>
      <c r="D42" s="1">
        <v>2012</v>
      </c>
      <c r="E42" s="36" t="s">
        <v>26</v>
      </c>
      <c r="F42" s="8" t="s">
        <v>49</v>
      </c>
      <c r="G42" s="1" t="s">
        <v>182</v>
      </c>
      <c r="H42" s="1" t="s">
        <v>504</v>
      </c>
      <c r="I42" s="8" t="s">
        <v>30</v>
      </c>
      <c r="J42" s="8" t="s">
        <v>643</v>
      </c>
      <c r="K42" s="8" t="s">
        <v>644</v>
      </c>
      <c r="L42" s="8" t="s">
        <v>645</v>
      </c>
      <c r="M42" s="8" t="s">
        <v>646</v>
      </c>
      <c r="N42" s="8">
        <v>91</v>
      </c>
      <c r="O42" s="8" t="s">
        <v>647</v>
      </c>
      <c r="P42" s="8"/>
      <c r="Q42" s="8" t="s">
        <v>648</v>
      </c>
      <c r="R42" s="8" t="s">
        <v>649</v>
      </c>
      <c r="S42" s="8" t="s">
        <v>650</v>
      </c>
      <c r="T42" s="8" t="s">
        <v>651</v>
      </c>
      <c r="U42" s="8" t="s">
        <v>652</v>
      </c>
      <c r="V42" s="8" t="s">
        <v>653</v>
      </c>
      <c r="W42" s="8" t="s">
        <v>654</v>
      </c>
      <c r="Y42" s="225"/>
      <c r="AA42" s="8"/>
    </row>
    <row r="43" spans="1:27" ht="390">
      <c r="A43" s="8" t="s">
        <v>655</v>
      </c>
      <c r="B43" s="5" t="s">
        <v>656</v>
      </c>
      <c r="C43" s="1" t="s">
        <v>657</v>
      </c>
      <c r="D43" s="1">
        <v>2013</v>
      </c>
      <c r="E43" s="36" t="s">
        <v>26</v>
      </c>
      <c r="F43" s="8" t="s">
        <v>27</v>
      </c>
      <c r="G43" s="1" t="s">
        <v>86</v>
      </c>
      <c r="H43" s="1" t="s">
        <v>51</v>
      </c>
      <c r="I43" s="1" t="s">
        <v>30</v>
      </c>
      <c r="J43" s="1" t="s">
        <v>658</v>
      </c>
      <c r="K43" s="1" t="s">
        <v>659</v>
      </c>
      <c r="L43" s="1" t="s">
        <v>660</v>
      </c>
      <c r="M43" s="1" t="s">
        <v>661</v>
      </c>
      <c r="N43" s="1">
        <v>138</v>
      </c>
      <c r="O43" s="1" t="s">
        <v>662</v>
      </c>
      <c r="P43" s="1" t="s">
        <v>663</v>
      </c>
      <c r="Q43" s="2" t="s">
        <v>664</v>
      </c>
      <c r="R43" s="2" t="s">
        <v>665</v>
      </c>
      <c r="S43" s="1" t="s">
        <v>666</v>
      </c>
      <c r="T43" s="1" t="s">
        <v>667</v>
      </c>
      <c r="U43" s="1" t="s">
        <v>668</v>
      </c>
      <c r="V43" s="1" t="s">
        <v>669</v>
      </c>
      <c r="W43" s="1" t="s">
        <v>670</v>
      </c>
      <c r="Y43" s="225"/>
    </row>
    <row r="44" spans="1:27" ht="285">
      <c r="A44" t="s">
        <v>671</v>
      </c>
      <c r="B44" s="1" t="s">
        <v>672</v>
      </c>
      <c r="C44" s="5"/>
      <c r="D44" s="1">
        <v>2010</v>
      </c>
      <c r="E44" s="36" t="s">
        <v>26</v>
      </c>
      <c r="F44" s="8" t="s">
        <v>27</v>
      </c>
      <c r="G44" s="1" t="s">
        <v>365</v>
      </c>
      <c r="H44" s="1" t="s">
        <v>366</v>
      </c>
      <c r="I44" s="1" t="s">
        <v>30</v>
      </c>
      <c r="J44" s="1" t="s">
        <v>673</v>
      </c>
      <c r="K44" s="1" t="s">
        <v>674</v>
      </c>
      <c r="L44" s="1" t="s">
        <v>675</v>
      </c>
      <c r="M44" s="1" t="s">
        <v>676</v>
      </c>
      <c r="N44" s="1">
        <v>221</v>
      </c>
      <c r="O44" s="6" t="s">
        <v>662</v>
      </c>
      <c r="P44" s="1" t="s">
        <v>37</v>
      </c>
      <c r="Q44" s="1" t="s">
        <v>677</v>
      </c>
      <c r="R44" s="1" t="s">
        <v>58</v>
      </c>
      <c r="S44" s="1" t="s">
        <v>678</v>
      </c>
      <c r="T44" s="1" t="s">
        <v>679</v>
      </c>
      <c r="U44" s="1" t="s">
        <v>680</v>
      </c>
      <c r="V44" s="1" t="s">
        <v>681</v>
      </c>
      <c r="W44" s="1"/>
      <c r="Y44" s="225"/>
    </row>
    <row r="45" spans="1:27" ht="195">
      <c r="A45" t="s">
        <v>682</v>
      </c>
      <c r="B45" s="1" t="s">
        <v>683</v>
      </c>
      <c r="C45" s="1" t="s">
        <v>684</v>
      </c>
      <c r="D45" s="1">
        <v>2015</v>
      </c>
      <c r="E45" s="36" t="s">
        <v>26</v>
      </c>
      <c r="F45" s="8" t="s">
        <v>49</v>
      </c>
      <c r="G45" s="1" t="s">
        <v>685</v>
      </c>
      <c r="H45" s="1" t="s">
        <v>68</v>
      </c>
      <c r="I45" s="1" t="s">
        <v>30</v>
      </c>
      <c r="J45" s="1" t="s">
        <v>686</v>
      </c>
      <c r="K45" s="1" t="s">
        <v>687</v>
      </c>
      <c r="L45" s="1" t="s">
        <v>688</v>
      </c>
      <c r="M45" s="1" t="s">
        <v>689</v>
      </c>
      <c r="N45" s="1">
        <v>213</v>
      </c>
      <c r="O45" s="6" t="s">
        <v>662</v>
      </c>
      <c r="P45" s="1" t="s">
        <v>327</v>
      </c>
      <c r="Q45" s="1" t="s">
        <v>690</v>
      </c>
      <c r="R45" s="1" t="s">
        <v>691</v>
      </c>
      <c r="S45" s="1" t="s">
        <v>692</v>
      </c>
      <c r="T45" s="1" t="s">
        <v>693</v>
      </c>
      <c r="U45" s="1" t="s">
        <v>694</v>
      </c>
      <c r="V45" s="1" t="s">
        <v>695</v>
      </c>
      <c r="W45" s="1" t="s">
        <v>696</v>
      </c>
      <c r="Y45" s="225"/>
    </row>
    <row r="46" spans="1:27" ht="409.5">
      <c r="A46" t="s">
        <v>697</v>
      </c>
      <c r="B46" s="7" t="s">
        <v>698</v>
      </c>
      <c r="C46" s="14" t="s">
        <v>699</v>
      </c>
      <c r="D46" s="7">
        <v>2008</v>
      </c>
      <c r="E46" s="36" t="s">
        <v>26</v>
      </c>
      <c r="F46" s="8" t="s">
        <v>27</v>
      </c>
      <c r="G46" s="1" t="s">
        <v>365</v>
      </c>
      <c r="H46" s="1" t="s">
        <v>366</v>
      </c>
      <c r="I46" s="7" t="s">
        <v>30</v>
      </c>
      <c r="J46" s="7" t="s">
        <v>700</v>
      </c>
      <c r="K46" s="1" t="s">
        <v>701</v>
      </c>
      <c r="L46" s="7" t="s">
        <v>702</v>
      </c>
      <c r="M46" s="7" t="s">
        <v>703</v>
      </c>
      <c r="N46" s="7">
        <v>103</v>
      </c>
      <c r="O46" s="7" t="s">
        <v>704</v>
      </c>
      <c r="P46" s="7" t="s">
        <v>327</v>
      </c>
      <c r="Q46" s="7" t="s">
        <v>705</v>
      </c>
      <c r="R46" s="7" t="s">
        <v>706</v>
      </c>
      <c r="S46" s="1" t="s">
        <v>707</v>
      </c>
      <c r="T46" s="1" t="s">
        <v>708</v>
      </c>
      <c r="U46" s="1" t="s">
        <v>709</v>
      </c>
      <c r="V46" s="1" t="s">
        <v>710</v>
      </c>
      <c r="W46" s="1"/>
      <c r="Y46" s="225"/>
    </row>
    <row r="47" spans="1:27" ht="285">
      <c r="A47" t="s">
        <v>711</v>
      </c>
      <c r="B47" s="7" t="s">
        <v>712</v>
      </c>
      <c r="C47" s="7" t="s">
        <v>713</v>
      </c>
      <c r="D47" s="7">
        <v>2013</v>
      </c>
      <c r="E47" s="36" t="s">
        <v>26</v>
      </c>
      <c r="F47" s="8" t="s">
        <v>27</v>
      </c>
      <c r="G47" s="1" t="s">
        <v>365</v>
      </c>
      <c r="H47" s="1" t="s">
        <v>366</v>
      </c>
      <c r="I47" s="7" t="s">
        <v>30</v>
      </c>
      <c r="J47" s="7" t="s">
        <v>714</v>
      </c>
      <c r="K47" s="7" t="s">
        <v>715</v>
      </c>
      <c r="L47" s="7" t="s">
        <v>716</v>
      </c>
      <c r="M47" s="7" t="s">
        <v>717</v>
      </c>
      <c r="N47" s="7">
        <v>260</v>
      </c>
      <c r="O47" s="7" t="s">
        <v>280</v>
      </c>
      <c r="P47" s="7" t="s">
        <v>718</v>
      </c>
      <c r="Q47" s="7" t="s">
        <v>719</v>
      </c>
      <c r="R47" s="7" t="s">
        <v>720</v>
      </c>
      <c r="S47" s="7" t="s">
        <v>721</v>
      </c>
      <c r="T47" s="7" t="s">
        <v>722</v>
      </c>
      <c r="U47" s="7" t="s">
        <v>723</v>
      </c>
      <c r="V47" s="7" t="s">
        <v>724</v>
      </c>
      <c r="W47" s="7" t="s">
        <v>725</v>
      </c>
      <c r="Y47" s="225"/>
    </row>
    <row r="48" spans="1:27" ht="409.5">
      <c r="A48" t="s">
        <v>726</v>
      </c>
      <c r="B48" s="1" t="s">
        <v>727</v>
      </c>
      <c r="C48" s="1" t="s">
        <v>728</v>
      </c>
      <c r="D48" s="1">
        <v>2015</v>
      </c>
      <c r="E48" s="36" t="s">
        <v>26</v>
      </c>
      <c r="F48" s="8" t="s">
        <v>49</v>
      </c>
      <c r="G48" s="1" t="s">
        <v>122</v>
      </c>
      <c r="H48" s="1" t="s">
        <v>51</v>
      </c>
      <c r="I48" s="1" t="s">
        <v>30</v>
      </c>
      <c r="J48" s="1" t="s">
        <v>729</v>
      </c>
      <c r="K48" s="1" t="s">
        <v>730</v>
      </c>
      <c r="L48" s="1" t="s">
        <v>731</v>
      </c>
      <c r="M48" s="1" t="s">
        <v>731</v>
      </c>
      <c r="N48" s="1">
        <v>102</v>
      </c>
      <c r="O48" s="1" t="s">
        <v>732</v>
      </c>
      <c r="P48" s="1" t="s">
        <v>37</v>
      </c>
      <c r="Q48" s="1" t="s">
        <v>733</v>
      </c>
      <c r="R48" s="1" t="s">
        <v>706</v>
      </c>
      <c r="S48" s="1" t="s">
        <v>734</v>
      </c>
      <c r="T48" s="1" t="s">
        <v>735</v>
      </c>
      <c r="U48" s="1" t="s">
        <v>736</v>
      </c>
      <c r="V48" s="1" t="s">
        <v>737</v>
      </c>
      <c r="W48" s="1"/>
      <c r="Y48" s="225"/>
    </row>
    <row r="49" spans="1:25" ht="210">
      <c r="A49" s="1" t="s">
        <v>738</v>
      </c>
      <c r="B49" s="1" t="s">
        <v>739</v>
      </c>
      <c r="C49" s="1" t="s">
        <v>740</v>
      </c>
      <c r="D49" s="1">
        <v>2016</v>
      </c>
      <c r="E49" s="6" t="s">
        <v>547</v>
      </c>
      <c r="F49" s="8" t="s">
        <v>27</v>
      </c>
      <c r="G49" s="1" t="s">
        <v>365</v>
      </c>
      <c r="H49" s="1" t="s">
        <v>366</v>
      </c>
      <c r="I49" s="1" t="s">
        <v>30</v>
      </c>
      <c r="J49" s="1" t="s">
        <v>741</v>
      </c>
      <c r="K49" s="1" t="s">
        <v>742</v>
      </c>
      <c r="L49" s="1" t="s">
        <v>743</v>
      </c>
      <c r="M49" s="1" t="s">
        <v>744</v>
      </c>
      <c r="N49" s="1">
        <v>425</v>
      </c>
      <c r="O49" s="1" t="s">
        <v>280</v>
      </c>
      <c r="P49" s="1" t="s">
        <v>354</v>
      </c>
      <c r="Q49" s="1" t="s">
        <v>745</v>
      </c>
      <c r="R49" s="1" t="s">
        <v>58</v>
      </c>
      <c r="S49" s="1" t="s">
        <v>746</v>
      </c>
      <c r="T49" s="1" t="s">
        <v>747</v>
      </c>
      <c r="U49" s="1" t="s">
        <v>748</v>
      </c>
      <c r="V49" s="1" t="s">
        <v>749</v>
      </c>
      <c r="W49" s="1" t="s">
        <v>750</v>
      </c>
      <c r="Y49" s="225"/>
    </row>
    <row r="50" spans="1:25">
      <c r="Y50" s="225"/>
    </row>
    <row r="51" spans="1:25">
      <c r="Y51" s="225"/>
    </row>
    <row r="52" spans="1:25">
      <c r="Y52" s="225"/>
    </row>
    <row r="53" spans="1:25">
      <c r="Y53" s="225"/>
    </row>
    <row r="54" spans="1:25">
      <c r="Y54" s="225"/>
    </row>
  </sheetData>
  <autoFilter ref="A1:W49" xr:uid="{908D3D18-7161-4658-AC18-85A720975C3D}"/>
  <hyperlinks>
    <hyperlink ref="C2" r:id="rId1" xr:uid="{7B31CF69-FC86-4C00-9F59-ADEFF168113E}"/>
    <hyperlink ref="B3" r:id="rId2" display="https://doi.org/10.1186/s13561-019-0254-6" xr:uid="{69118140-78F1-49E6-B11C-6313BA89142E}"/>
    <hyperlink ref="C3" r:id="rId3" xr:uid="{AFD90FE7-D5D1-4B25-992B-1BD16015C48C}"/>
    <hyperlink ref="B4" r:id="rId4" display="https://doi.org/10.1186/s12961-023-01018-1" xr:uid="{09593F24-F9E9-4198-8F58-3FFABEFE5CE9}"/>
    <hyperlink ref="C4" r:id="rId5" xr:uid="{51CA654B-F204-4795-9324-AD7C0C77A621}"/>
    <hyperlink ref="C7" r:id="rId6" xr:uid="{EC20904C-AF16-476F-BBD1-993801B1734B}"/>
    <hyperlink ref="C8" r:id="rId7" xr:uid="{38C2A68A-7431-47C3-8E4E-6DEDBA4E34D9}"/>
    <hyperlink ref="B11" r:id="rId8" display="https://doi.org/10.1371/journal.pone.0206121" xr:uid="{CBA68392-A29B-479F-9E6B-ECE37432961B}"/>
    <hyperlink ref="C11" r:id="rId9" xr:uid="{52194235-D01B-4B48-BBFA-FE253D1AA41B}"/>
    <hyperlink ref="C14" r:id="rId10" xr:uid="{8EA29A67-F51E-4085-B284-58DFDC6ECE61}"/>
    <hyperlink ref="C27" r:id="rId11" xr:uid="{003BBFA2-AFB3-4357-8C7A-F41809BEEB7D}"/>
    <hyperlink ref="C17" r:id="rId12" xr:uid="{0BD38384-AB17-4896-9672-2215FA07967D}"/>
    <hyperlink ref="C29" r:id="rId13" xr:uid="{EEFCE03F-0F28-47D6-840F-B89DF7E44723}"/>
    <hyperlink ref="C39" r:id="rId14" xr:uid="{66EF46A4-39F6-44E0-AEC4-624945B4D29A}"/>
    <hyperlink ref="C19" r:id="rId15" xr:uid="{ED305C34-91AB-4206-B6C0-199834DD2150}"/>
    <hyperlink ref="C9" r:id="rId16" xr:uid="{B4A3AD72-208C-466E-955A-FCBBDE2661D7}"/>
    <hyperlink ref="C38" r:id="rId17" xr:uid="{CC61363A-2FB2-465D-9371-FC22D3247683}"/>
    <hyperlink ref="C30" r:id="rId18" xr:uid="{F5573F1A-635E-41A7-9777-14CD5B79E8A2}"/>
    <hyperlink ref="C46" r:id="rId19" xr:uid="{A3A52B65-CD77-41C5-8D71-8423419B8DE2}"/>
    <hyperlink ref="B43" r:id="rId20" display="https://doi.org/10.1016/j.healthpol.2013.01.017" xr:uid="{50C0AF86-85D6-44D8-A8EA-3C85543653B2}"/>
    <hyperlink ref="C35" r:id="rId21" xr:uid="{CEFDBE77-D4B7-4392-8C8B-B0BE329F36BF}"/>
    <hyperlink ref="C33" r:id="rId22" xr:uid="{33757582-4A37-49CE-B9DA-F23F4B63C1FF}"/>
  </hyperlinks>
  <pageMargins left="0.7" right="0.7" top="0.75" bottom="0.75" header="0.3" footer="0.3"/>
  <legacyDrawing r:id="rId2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DCFC-393C-4A81-BA95-FCF58E28D80F}">
  <dimension ref="A1:B32"/>
  <sheetViews>
    <sheetView workbookViewId="0">
      <selection activeCell="B2" sqref="B2"/>
    </sheetView>
  </sheetViews>
  <sheetFormatPr defaultRowHeight="15"/>
  <cols>
    <col min="1" max="1" width="17.85546875" customWidth="1"/>
    <col min="2" max="2" width="18.42578125" customWidth="1"/>
    <col min="3" max="3" width="17" customWidth="1"/>
    <col min="5" max="5" width="39.5703125" bestFit="1" customWidth="1"/>
    <col min="8" max="8" width="35.140625" bestFit="1" customWidth="1"/>
    <col min="11" max="11" width="38" bestFit="1" customWidth="1"/>
  </cols>
  <sheetData>
    <row r="1" spans="1:2">
      <c r="A1" s="226" t="s">
        <v>751</v>
      </c>
      <c r="B1" s="226" t="s">
        <v>752</v>
      </c>
    </row>
    <row r="2" spans="1:2">
      <c r="A2" s="10" t="s">
        <v>365</v>
      </c>
      <c r="B2" s="10">
        <f>COUNTIF('All Full-Texts Included'!G:G, "*" &amp; 'Country Counts'!A2 &amp; "*")</f>
        <v>13</v>
      </c>
    </row>
    <row r="3" spans="1:2">
      <c r="A3" s="10" t="s">
        <v>335</v>
      </c>
      <c r="B3" s="10">
        <f>COUNTIF('All Full-Texts Included'!G:G, "*" &amp; 'Country Counts'!A3 &amp; "*")</f>
        <v>2</v>
      </c>
    </row>
    <row r="4" spans="1:2">
      <c r="A4" s="10" t="s">
        <v>67</v>
      </c>
      <c r="B4" s="10">
        <f>COUNTIF('All Full-Texts Included'!G:G, "*" &amp; 'Country Counts'!A4 &amp; "*")</f>
        <v>2</v>
      </c>
    </row>
    <row r="5" spans="1:2">
      <c r="A5" s="10" t="s">
        <v>753</v>
      </c>
      <c r="B5" s="10">
        <f>COUNTIF('All Full-Texts Included'!G:G, "*" &amp; 'Country Counts'!A5 &amp; "*")</f>
        <v>1</v>
      </c>
    </row>
    <row r="6" spans="1:2">
      <c r="A6" s="10" t="s">
        <v>631</v>
      </c>
      <c r="B6" s="10">
        <f>COUNTIF('All Full-Texts Included'!G:G, "*" &amp; 'Country Counts'!A6 &amp; "*")</f>
        <v>7</v>
      </c>
    </row>
    <row r="7" spans="1:2">
      <c r="A7" s="10" t="s">
        <v>503</v>
      </c>
      <c r="B7" s="10">
        <f>COUNTIF('All Full-Texts Included'!G:G, "*" &amp; 'Country Counts'!A7 &amp; "*")</f>
        <v>1</v>
      </c>
    </row>
    <row r="8" spans="1:2">
      <c r="A8" s="10" t="s">
        <v>754</v>
      </c>
      <c r="B8" s="10">
        <f>COUNTIF('All Full-Texts Included'!G:G, "*" &amp; 'Country Counts'!A8 &amp; "*")</f>
        <v>1</v>
      </c>
    </row>
    <row r="9" spans="1:2">
      <c r="A9" s="10" t="s">
        <v>755</v>
      </c>
      <c r="B9" s="10">
        <f>COUNTIF('All Full-Texts Included'!G:G, "*" &amp; 'Country Counts'!A9 &amp; "*")</f>
        <v>1</v>
      </c>
    </row>
    <row r="10" spans="1:2">
      <c r="A10" s="10" t="s">
        <v>756</v>
      </c>
      <c r="B10" s="10">
        <f>COUNTIF('All Full-Texts Included'!G:G, "*" &amp; 'Country Counts'!A10 &amp; "*")</f>
        <v>2</v>
      </c>
    </row>
    <row r="11" spans="1:2">
      <c r="A11" s="10" t="s">
        <v>86</v>
      </c>
      <c r="B11" s="10">
        <f>COUNTIF('All Full-Texts Included'!G:G, "*" &amp; 'Country Counts'!A11 &amp; "*")</f>
        <v>13</v>
      </c>
    </row>
    <row r="12" spans="1:2">
      <c r="A12" s="10" t="s">
        <v>757</v>
      </c>
      <c r="B12" s="10">
        <f>COUNTIF('All Full-Texts Included'!G:G, "*" &amp; 'Country Counts'!A12 &amp; "*")</f>
        <v>1</v>
      </c>
    </row>
    <row r="13" spans="1:2">
      <c r="A13" s="10" t="s">
        <v>565</v>
      </c>
      <c r="B13" s="10">
        <f>COUNTIF('All Full-Texts Included'!G:G, "*" &amp; 'Country Counts'!A13 &amp; "*")</f>
        <v>8</v>
      </c>
    </row>
    <row r="14" spans="1:2">
      <c r="A14" s="10" t="s">
        <v>50</v>
      </c>
      <c r="B14" s="10">
        <f>COUNTIF('All Full-Texts Included'!G:G, "*" &amp; 'Country Counts'!A14 &amp; "*")</f>
        <v>8</v>
      </c>
    </row>
    <row r="15" spans="1:2">
      <c r="A15" s="10" t="s">
        <v>486</v>
      </c>
      <c r="B15" s="10">
        <f>COUNTIF('All Full-Texts Included'!G:G, "*" &amp; 'Country Counts'!A15 &amp; "*")</f>
        <v>3</v>
      </c>
    </row>
    <row r="16" spans="1:2">
      <c r="A16" s="10" t="s">
        <v>319</v>
      </c>
      <c r="B16" s="10">
        <f>COUNTIF('All Full-Texts Included'!G:G, "*" &amp; 'Country Counts'!A16 &amp; "*")</f>
        <v>1</v>
      </c>
    </row>
    <row r="17" spans="1:2">
      <c r="A17" s="10" t="s">
        <v>758</v>
      </c>
      <c r="B17" s="10">
        <f>COUNTIF('All Full-Texts Included'!G:G, "*" &amp; 'Country Counts'!A17 &amp; "*")</f>
        <v>2</v>
      </c>
    </row>
    <row r="18" spans="1:2">
      <c r="A18" s="10" t="s">
        <v>759</v>
      </c>
      <c r="B18" s="10">
        <f>COUNTIF('All Full-Texts Included'!G:G, "*" &amp; 'Country Counts'!A18 &amp; "*")</f>
        <v>1</v>
      </c>
    </row>
    <row r="19" spans="1:2">
      <c r="A19" s="10" t="s">
        <v>760</v>
      </c>
      <c r="B19" s="10">
        <f>COUNTIF('All Full-Texts Included'!G:G, "*" &amp; 'Country Counts'!A19 &amp; "*")</f>
        <v>1</v>
      </c>
    </row>
    <row r="20" spans="1:2">
      <c r="A20" s="10" t="s">
        <v>152</v>
      </c>
      <c r="B20" s="10">
        <f>COUNTIF('All Full-Texts Included'!G:G, "*" &amp; 'Country Counts'!A20 &amp; "*")</f>
        <v>6</v>
      </c>
    </row>
    <row r="21" spans="1:2">
      <c r="A21" s="10" t="s">
        <v>761</v>
      </c>
      <c r="B21" s="10">
        <f>COUNTIF('All Full-Texts Included'!G:G, "*" &amp; 'Country Counts'!A21 &amp; "*")</f>
        <v>1</v>
      </c>
    </row>
    <row r="22" spans="1:2">
      <c r="A22" s="10" t="s">
        <v>246</v>
      </c>
      <c r="B22" s="10">
        <f>COUNTIF('All Full-Texts Included'!G:G, "*" &amp; 'Country Counts'!A22 &amp; "*")</f>
        <v>2</v>
      </c>
    </row>
    <row r="23" spans="1:2">
      <c r="A23" s="10" t="s">
        <v>216</v>
      </c>
      <c r="B23" s="10">
        <f>COUNTIF('All Full-Texts Included'!G:G, "*" &amp; 'Country Counts'!A23 &amp; "*")</f>
        <v>5</v>
      </c>
    </row>
    <row r="24" spans="1:2">
      <c r="A24" s="10" t="s">
        <v>762</v>
      </c>
      <c r="B24" s="10">
        <f>COUNTIF('All Full-Texts Included'!G:G, "*" &amp; 'Country Counts'!A24 &amp; "*")</f>
        <v>1</v>
      </c>
    </row>
    <row r="25" spans="1:2">
      <c r="A25" s="10" t="s">
        <v>548</v>
      </c>
      <c r="B25" s="10">
        <f>COUNTIF('All Full-Texts Included'!G:G, "*" &amp; 'Country Counts'!A25 &amp; "*")</f>
        <v>7</v>
      </c>
    </row>
    <row r="26" spans="1:2">
      <c r="A26" s="10" t="s">
        <v>763</v>
      </c>
      <c r="B26" s="10">
        <f>COUNTIF('All Full-Texts Included'!G:G, "*" &amp; 'Country Counts'!A26 &amp; "*")</f>
        <v>1</v>
      </c>
    </row>
    <row r="27" spans="1:2">
      <c r="A27" s="10" t="s">
        <v>182</v>
      </c>
      <c r="B27" s="10">
        <f>COUNTIF('All Full-Texts Included'!G:G, "*" &amp; 'Country Counts'!A27 &amp; "*")</f>
        <v>2</v>
      </c>
    </row>
    <row r="28" spans="1:2">
      <c r="A28" s="10" t="s">
        <v>199</v>
      </c>
      <c r="B28" s="10">
        <f>COUNTIF('All Full-Texts Included'!G:G, "*" &amp; 'Country Counts'!A28 &amp; "*")</f>
        <v>3</v>
      </c>
    </row>
    <row r="29" spans="1:2">
      <c r="A29" s="10" t="s">
        <v>122</v>
      </c>
      <c r="B29" s="10">
        <f>COUNTIF('All Full-Texts Included'!G:G, "*" &amp; 'Country Counts'!A29 &amp; "*")</f>
        <v>6</v>
      </c>
    </row>
    <row r="30" spans="1:2">
      <c r="A30" s="10" t="s">
        <v>166</v>
      </c>
      <c r="B30" s="10">
        <f>COUNTIF('All Full-Texts Included'!G:G, "*" &amp; 'Country Counts'!A30 &amp; "*")</f>
        <v>1</v>
      </c>
    </row>
    <row r="31" spans="1:2">
      <c r="A31" s="10" t="s">
        <v>685</v>
      </c>
      <c r="B31" s="10">
        <f>COUNTIF('All Full-Texts Included'!G:G, "*" &amp; 'Country Counts'!A31 &amp; "*")</f>
        <v>3</v>
      </c>
    </row>
    <row r="32" spans="1:2">
      <c r="A32" s="10" t="s">
        <v>289</v>
      </c>
      <c r="B32" s="10">
        <f>COUNTIF('All Full-Texts Included'!G:G, "*" &amp; 'Country Counts'!A32 &amp; "*")</f>
        <v>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D7C70-5483-4385-A116-3781F26C5313}">
  <dimension ref="A1:B5"/>
  <sheetViews>
    <sheetView workbookViewId="0">
      <selection activeCell="P15" sqref="P15"/>
    </sheetView>
  </sheetViews>
  <sheetFormatPr defaultRowHeight="15"/>
  <sheetData>
    <row r="1" spans="1:2">
      <c r="A1" s="226" t="s">
        <v>751</v>
      </c>
      <c r="B1" s="226" t="s">
        <v>752</v>
      </c>
    </row>
    <row r="2" spans="1:2">
      <c r="A2" s="6" t="s">
        <v>366</v>
      </c>
      <c r="B2" s="6">
        <f>COUNTIF('All Full-Texts Included'!H:H, "*" &amp;  'Continent Counts'!A2 &amp; "*")</f>
        <v>13</v>
      </c>
    </row>
    <row r="3" spans="1:2">
      <c r="A3" s="6" t="s">
        <v>68</v>
      </c>
      <c r="B3" s="6">
        <f>COUNTIF('All Full-Texts Included'!H:H, "*" &amp;  'Continent Counts'!A3 &amp; "*")</f>
        <v>9</v>
      </c>
    </row>
    <row r="4" spans="1:2">
      <c r="A4" s="6" t="s">
        <v>51</v>
      </c>
      <c r="B4" s="6">
        <f>COUNTIF('All Full-Texts Included'!H:H, "*" &amp;  'Continent Counts'!A4 &amp; "*")</f>
        <v>33</v>
      </c>
    </row>
    <row r="5" spans="1:2">
      <c r="A5" s="6" t="s">
        <v>504</v>
      </c>
      <c r="B5" s="6">
        <f>COUNTIF('All Full-Texts Included'!H:H, "*" &amp;  'Continent Counts'!A5 &amp; "*")</f>
        <v>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6FF1C-8195-47F2-917A-DD9C94D01C0F}">
  <dimension ref="A1:B4"/>
  <sheetViews>
    <sheetView workbookViewId="0">
      <selection activeCell="A5" sqref="A5"/>
    </sheetView>
  </sheetViews>
  <sheetFormatPr defaultRowHeight="15"/>
  <cols>
    <col min="1" max="1" width="36.7109375" bestFit="1" customWidth="1"/>
  </cols>
  <sheetData>
    <row r="1" spans="1:2">
      <c r="A1" s="227" t="s">
        <v>764</v>
      </c>
      <c r="B1" s="227" t="s">
        <v>752</v>
      </c>
    </row>
    <row r="2" spans="1:2">
      <c r="A2" t="s">
        <v>27</v>
      </c>
      <c r="B2">
        <f>COUNTIF('All Full-Texts Included'!F:F, "*" &amp; 'Type of Source Counts'!A2 &amp; "*")</f>
        <v>19</v>
      </c>
    </row>
    <row r="3" spans="1:2">
      <c r="A3" t="s">
        <v>765</v>
      </c>
      <c r="B3">
        <f>COUNTIF('All Full-Texts Included'!F:F, "*" &amp; 'Type of Source Counts'!A3 &amp; "*")</f>
        <v>19</v>
      </c>
    </row>
    <row r="4" spans="1:2">
      <c r="A4" t="s">
        <v>766</v>
      </c>
      <c r="B4">
        <f>COUNTIF('All Full-Texts Included'!F:F, "*" &amp; 'Type of Source Counts'!A4 &amp; "*")</f>
        <v>10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DC87F5-A4A6-4F6E-AAF1-7BA3D975A1AE}">
  <dimension ref="A1:B4"/>
  <sheetViews>
    <sheetView workbookViewId="0">
      <selection activeCell="D6" sqref="D6"/>
    </sheetView>
  </sheetViews>
  <sheetFormatPr defaultRowHeight="15"/>
  <cols>
    <col min="1" max="1" width="35.140625" bestFit="1" customWidth="1"/>
  </cols>
  <sheetData>
    <row r="1" spans="1:2">
      <c r="A1" s="227" t="s">
        <v>767</v>
      </c>
      <c r="B1" s="227" t="s">
        <v>752</v>
      </c>
    </row>
    <row r="2" spans="1:2">
      <c r="A2" t="s">
        <v>768</v>
      </c>
      <c r="B2">
        <f>COUNTIF('All Full-Texts Included'!E:E, "*" &amp; 'Study Objective Counts'!A2 &amp; "*")</f>
        <v>42</v>
      </c>
    </row>
    <row r="3" spans="1:2">
      <c r="A3" t="s">
        <v>769</v>
      </c>
      <c r="B3">
        <f>COUNTIF('All Full-Texts Included'!E:E, "*" &amp; 'Study Objective Counts'!A3 &amp; "*")</f>
        <v>3</v>
      </c>
    </row>
    <row r="4" spans="1:2">
      <c r="A4" t="s">
        <v>770</v>
      </c>
      <c r="B4">
        <f>COUNTIF('All Full-Texts Included'!E:E, "*" &amp; 'Study Objective Counts'!A4 &amp; "*")</f>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69B7-CA26-4016-B99E-8D69D888E520}">
  <dimension ref="A1:B4"/>
  <sheetViews>
    <sheetView workbookViewId="0">
      <selection activeCell="A2" sqref="A2:B4"/>
    </sheetView>
  </sheetViews>
  <sheetFormatPr defaultRowHeight="15"/>
  <cols>
    <col min="1" max="1" width="34.85546875" bestFit="1" customWidth="1"/>
  </cols>
  <sheetData>
    <row r="1" spans="1:2">
      <c r="A1" s="227" t="s">
        <v>8</v>
      </c>
      <c r="B1" s="227" t="s">
        <v>752</v>
      </c>
    </row>
    <row r="2" spans="1:2">
      <c r="A2" t="s">
        <v>771</v>
      </c>
      <c r="B2">
        <f>COUNTIF('All Full-Texts Included'!I:I, "*" &amp; 'Stat Methods Counts'!A2 &amp; "*")</f>
        <v>43</v>
      </c>
    </row>
    <row r="3" spans="1:2">
      <c r="A3" t="s">
        <v>772</v>
      </c>
      <c r="B3">
        <f>COUNTIF('All Full-Texts Included'!I:I, "*" &amp; 'Stat Methods Counts'!A3 &amp; "*")</f>
        <v>2</v>
      </c>
    </row>
    <row r="4" spans="1:2">
      <c r="A4" t="s">
        <v>773</v>
      </c>
      <c r="B4">
        <f>COUNTIF('All Full-Texts Included'!I:I, "*" &amp; 'Stat Methods Counts'!A4 &amp; "*")</f>
        <v>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556C-70D2-4A92-86B1-F32EE821349F}">
  <dimension ref="A1:B19"/>
  <sheetViews>
    <sheetView workbookViewId="0">
      <selection activeCell="G11" sqref="G11"/>
    </sheetView>
  </sheetViews>
  <sheetFormatPr defaultRowHeight="15"/>
  <sheetData>
    <row r="1" spans="1:2">
      <c r="A1" s="227" t="s">
        <v>774</v>
      </c>
      <c r="B1" s="227" t="s">
        <v>752</v>
      </c>
    </row>
    <row r="2" spans="1:2">
      <c r="A2">
        <v>2006</v>
      </c>
      <c r="B2">
        <f>COUNTIF('All Full-Texts Included'!D:D, A2)</f>
        <v>2</v>
      </c>
    </row>
    <row r="3" spans="1:2">
      <c r="A3">
        <v>2007</v>
      </c>
      <c r="B3">
        <f>COUNTIF('All Full-Texts Included'!D:D, A3)</f>
        <v>0</v>
      </c>
    </row>
    <row r="4" spans="1:2">
      <c r="A4">
        <v>2008</v>
      </c>
      <c r="B4">
        <f>COUNTIF('All Full-Texts Included'!D:D, A4)</f>
        <v>1</v>
      </c>
    </row>
    <row r="5" spans="1:2">
      <c r="A5">
        <v>2009</v>
      </c>
      <c r="B5">
        <f>COUNTIF('All Full-Texts Included'!D:D, A5)</f>
        <v>0</v>
      </c>
    </row>
    <row r="6" spans="1:2">
      <c r="A6">
        <v>2010</v>
      </c>
      <c r="B6">
        <f>COUNTIF('All Full-Texts Included'!D:D, A6)</f>
        <v>1</v>
      </c>
    </row>
    <row r="7" spans="1:2">
      <c r="A7">
        <v>2011</v>
      </c>
      <c r="B7">
        <f>COUNTIF('All Full-Texts Included'!D:D, A7)</f>
        <v>0</v>
      </c>
    </row>
    <row r="8" spans="1:2">
      <c r="A8">
        <v>2012</v>
      </c>
      <c r="B8">
        <f>COUNTIF('All Full-Texts Included'!D:D, A8)</f>
        <v>2</v>
      </c>
    </row>
    <row r="9" spans="1:2">
      <c r="A9">
        <v>2013</v>
      </c>
      <c r="B9">
        <f>COUNTIF('All Full-Texts Included'!D:D, A9)</f>
        <v>4</v>
      </c>
    </row>
    <row r="10" spans="1:2">
      <c r="A10">
        <v>2014</v>
      </c>
      <c r="B10">
        <f>COUNTIF('All Full-Texts Included'!D:D, A10)</f>
        <v>3</v>
      </c>
    </row>
    <row r="11" spans="1:2">
      <c r="A11">
        <v>2015</v>
      </c>
      <c r="B11">
        <f>COUNTIF('All Full-Texts Included'!D:D, A11)</f>
        <v>6</v>
      </c>
    </row>
    <row r="12" spans="1:2">
      <c r="A12">
        <v>2016</v>
      </c>
      <c r="B12">
        <f>COUNTIF('All Full-Texts Included'!D:D, A12)</f>
        <v>4</v>
      </c>
    </row>
    <row r="13" spans="1:2">
      <c r="A13">
        <v>2017</v>
      </c>
      <c r="B13">
        <f>COUNTIF('All Full-Texts Included'!D:D, A13)</f>
        <v>2</v>
      </c>
    </row>
    <row r="14" spans="1:2">
      <c r="A14">
        <v>2018</v>
      </c>
      <c r="B14">
        <f>COUNTIF('All Full-Texts Included'!D:D, A14)</f>
        <v>3</v>
      </c>
    </row>
    <row r="15" spans="1:2">
      <c r="A15">
        <v>2019</v>
      </c>
      <c r="B15">
        <f>COUNTIF('All Full-Texts Included'!D:D, A15)</f>
        <v>3</v>
      </c>
    </row>
    <row r="16" spans="1:2">
      <c r="A16">
        <v>2020</v>
      </c>
      <c r="B16">
        <f>COUNTIF('All Full-Texts Included'!D:D, A16)</f>
        <v>2</v>
      </c>
    </row>
    <row r="17" spans="1:2">
      <c r="A17">
        <v>2021</v>
      </c>
      <c r="B17">
        <f>COUNTIF('All Full-Texts Included'!D:D, A17)</f>
        <v>2</v>
      </c>
    </row>
    <row r="18" spans="1:2">
      <c r="A18">
        <v>2022</v>
      </c>
      <c r="B18">
        <f>COUNTIF('All Full-Texts Included'!D:D, A18)</f>
        <v>7</v>
      </c>
    </row>
    <row r="19" spans="1:2">
      <c r="A19">
        <v>2023</v>
      </c>
      <c r="B19">
        <f>COUNTIF('All Full-Texts Included'!D:D, A19)</f>
        <v>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C03A3-6753-4EBA-8FB8-3BF5BC848E39}">
  <sheetPr codeName="Sheet1">
    <tabColor theme="9" tint="-0.249977111117893"/>
  </sheetPr>
  <dimension ref="A1:AK79"/>
  <sheetViews>
    <sheetView zoomScale="85" zoomScaleNormal="85" workbookViewId="0">
      <pane ySplit="1" topLeftCell="A11" activePane="bottomLeft" state="frozen"/>
      <selection pane="bottomLeft" activeCell="B2" sqref="B2"/>
    </sheetView>
  </sheetViews>
  <sheetFormatPr defaultColWidth="8.85546875" defaultRowHeight="15"/>
  <cols>
    <col min="1" max="1" width="18.28515625" customWidth="1"/>
    <col min="2" max="2" width="19.85546875" style="1" customWidth="1"/>
    <col min="3" max="3" width="23.140625" customWidth="1"/>
    <col min="4" max="4" width="33.5703125" customWidth="1"/>
    <col min="5" max="5" width="32.140625" customWidth="1"/>
    <col min="6" max="6" width="22.42578125" customWidth="1"/>
    <col min="7" max="7" width="14.7109375" customWidth="1"/>
    <col min="8" max="8" width="21.42578125" customWidth="1"/>
    <col min="9" max="9" width="24.5703125" customWidth="1"/>
    <col min="10" max="10" width="23.140625" customWidth="1"/>
    <col min="11" max="11" width="24.28515625" customWidth="1"/>
    <col min="12" max="12" width="71.5703125" customWidth="1"/>
    <col min="13" max="13" width="31.140625" customWidth="1"/>
    <col min="14" max="14" width="73.5703125" customWidth="1"/>
    <col min="15" max="15" width="55" customWidth="1"/>
    <col min="16" max="16" width="19" bestFit="1" customWidth="1"/>
    <col min="17" max="17" width="24" customWidth="1"/>
    <col min="18" max="18" width="21" customWidth="1"/>
    <col min="19" max="19" width="14" customWidth="1"/>
    <col min="20" max="20" width="16.7109375" customWidth="1"/>
    <col min="21" max="21" width="21.140625" customWidth="1"/>
    <col min="22" max="22" width="30.7109375" customWidth="1"/>
    <col min="23" max="23" width="34.140625" customWidth="1"/>
    <col min="24" max="24" width="15.140625" customWidth="1"/>
    <col min="25" max="25" width="20.5703125" customWidth="1"/>
  </cols>
  <sheetData>
    <row r="1" spans="1:37" ht="120">
      <c r="A1" s="2" t="s">
        <v>775</v>
      </c>
      <c r="B1" s="2" t="s">
        <v>776</v>
      </c>
      <c r="C1" s="2" t="s">
        <v>777</v>
      </c>
      <c r="D1" s="38" t="s">
        <v>0</v>
      </c>
      <c r="E1" s="2" t="s">
        <v>1</v>
      </c>
      <c r="F1" s="2" t="s">
        <v>2</v>
      </c>
      <c r="G1" s="2" t="s">
        <v>3</v>
      </c>
      <c r="H1" s="2" t="s">
        <v>4</v>
      </c>
      <c r="I1" s="2" t="s">
        <v>5</v>
      </c>
      <c r="J1" s="2" t="s">
        <v>6</v>
      </c>
      <c r="K1" s="2" t="s">
        <v>8</v>
      </c>
      <c r="L1" s="2" t="s">
        <v>9</v>
      </c>
      <c r="M1" s="2" t="s">
        <v>10</v>
      </c>
      <c r="N1" s="2" t="s">
        <v>11</v>
      </c>
      <c r="O1" s="2" t="s">
        <v>12</v>
      </c>
      <c r="P1" s="2" t="s">
        <v>13</v>
      </c>
      <c r="Q1" s="2" t="s">
        <v>14</v>
      </c>
      <c r="R1" s="2" t="s">
        <v>15</v>
      </c>
      <c r="S1" s="2" t="s">
        <v>16</v>
      </c>
      <c r="T1" s="2" t="s">
        <v>17</v>
      </c>
      <c r="U1" s="2" t="s">
        <v>18</v>
      </c>
      <c r="V1" s="2" t="s">
        <v>19</v>
      </c>
      <c r="W1" s="2" t="s">
        <v>20</v>
      </c>
      <c r="X1" s="2" t="s">
        <v>21</v>
      </c>
      <c r="Y1" s="3" t="s">
        <v>22</v>
      </c>
      <c r="Z1" s="2"/>
      <c r="AA1" s="2"/>
      <c r="AB1" s="2"/>
      <c r="AC1" s="2"/>
    </row>
    <row r="2" spans="1:37" ht="210">
      <c r="A2" s="24">
        <v>4</v>
      </c>
      <c r="B2" s="8" t="s">
        <v>778</v>
      </c>
      <c r="C2" s="21" t="s">
        <v>779</v>
      </c>
      <c r="D2" s="21" t="s">
        <v>23</v>
      </c>
      <c r="E2" s="8" t="s">
        <v>24</v>
      </c>
      <c r="F2" s="9" t="s">
        <v>25</v>
      </c>
      <c r="G2" s="8">
        <v>2006</v>
      </c>
      <c r="H2" s="8" t="s">
        <v>780</v>
      </c>
      <c r="I2" s="8" t="s">
        <v>781</v>
      </c>
      <c r="J2" s="8" t="s">
        <v>782</v>
      </c>
      <c r="K2" s="8" t="s">
        <v>783</v>
      </c>
      <c r="L2" s="8" t="s">
        <v>31</v>
      </c>
      <c r="M2" s="8" t="s">
        <v>32</v>
      </c>
      <c r="N2" s="8" t="s">
        <v>33</v>
      </c>
      <c r="O2" s="8" t="s">
        <v>34</v>
      </c>
      <c r="P2" s="8" t="s">
        <v>35</v>
      </c>
      <c r="Q2" s="8" t="s">
        <v>36</v>
      </c>
      <c r="R2" s="8" t="s">
        <v>37</v>
      </c>
      <c r="S2" s="8" t="s">
        <v>38</v>
      </c>
      <c r="T2" s="8" t="s">
        <v>39</v>
      </c>
      <c r="U2" s="8" t="s">
        <v>40</v>
      </c>
      <c r="V2" s="8" t="s">
        <v>41</v>
      </c>
      <c r="W2" s="8" t="s">
        <v>42</v>
      </c>
      <c r="X2" s="8" t="s">
        <v>43</v>
      </c>
      <c r="Y2" s="8" t="s">
        <v>44</v>
      </c>
    </row>
    <row r="3" spans="1:37" ht="165">
      <c r="A3" s="1">
        <v>5</v>
      </c>
      <c r="B3" s="8" t="s">
        <v>784</v>
      </c>
      <c r="C3" s="22" t="s">
        <v>779</v>
      </c>
      <c r="D3" s="19" t="s">
        <v>45</v>
      </c>
      <c r="E3" s="9" t="s">
        <v>46</v>
      </c>
      <c r="F3" s="9" t="s">
        <v>47</v>
      </c>
      <c r="G3" s="8">
        <v>2019</v>
      </c>
      <c r="H3" s="8" t="s">
        <v>785</v>
      </c>
      <c r="I3" s="8" t="s">
        <v>786</v>
      </c>
      <c r="J3" s="8" t="s">
        <v>50</v>
      </c>
      <c r="K3" s="8" t="s">
        <v>783</v>
      </c>
      <c r="L3" s="8" t="s">
        <v>52</v>
      </c>
      <c r="M3" s="7" t="s">
        <v>53</v>
      </c>
      <c r="N3" s="8" t="s">
        <v>52</v>
      </c>
      <c r="O3" s="8" t="s">
        <v>54</v>
      </c>
      <c r="P3" s="8" t="s">
        <v>55</v>
      </c>
      <c r="Q3" s="8" t="s">
        <v>56</v>
      </c>
      <c r="R3" s="8" t="s">
        <v>37</v>
      </c>
      <c r="S3" s="8" t="s">
        <v>57</v>
      </c>
      <c r="T3" s="8" t="s">
        <v>58</v>
      </c>
      <c r="U3" s="8" t="s">
        <v>59</v>
      </c>
      <c r="V3" s="8" t="s">
        <v>60</v>
      </c>
      <c r="W3" s="8" t="s">
        <v>61</v>
      </c>
      <c r="X3" s="8" t="s">
        <v>62</v>
      </c>
      <c r="Y3" s="8" t="s">
        <v>63</v>
      </c>
      <c r="AD3" s="10"/>
      <c r="AE3" s="10"/>
      <c r="AF3" s="10"/>
      <c r="AG3" s="10"/>
      <c r="AH3" s="10"/>
      <c r="AI3" s="10"/>
      <c r="AJ3" s="10"/>
      <c r="AK3" s="10"/>
    </row>
    <row r="4" spans="1:37" ht="150">
      <c r="A4" s="8">
        <v>13</v>
      </c>
      <c r="B4" s="8" t="s">
        <v>787</v>
      </c>
      <c r="C4" s="21" t="s">
        <v>779</v>
      </c>
      <c r="D4" s="21" t="s">
        <v>64</v>
      </c>
      <c r="E4" s="9" t="s">
        <v>65</v>
      </c>
      <c r="F4" s="9" t="s">
        <v>66</v>
      </c>
      <c r="G4" s="8">
        <v>2023</v>
      </c>
      <c r="H4" s="8" t="s">
        <v>780</v>
      </c>
      <c r="I4" s="8" t="s">
        <v>786</v>
      </c>
      <c r="J4" s="8" t="s">
        <v>67</v>
      </c>
      <c r="K4" s="8" t="s">
        <v>783</v>
      </c>
      <c r="L4" s="8" t="s">
        <v>69</v>
      </c>
      <c r="M4" s="15" t="s">
        <v>70</v>
      </c>
      <c r="N4" s="8" t="s">
        <v>71</v>
      </c>
      <c r="O4" s="8" t="s">
        <v>72</v>
      </c>
      <c r="P4" s="8" t="s">
        <v>73</v>
      </c>
      <c r="Q4" s="8" t="s">
        <v>74</v>
      </c>
      <c r="R4" s="8" t="s">
        <v>75</v>
      </c>
      <c r="S4" s="8" t="s">
        <v>76</v>
      </c>
      <c r="T4" s="8" t="s">
        <v>77</v>
      </c>
      <c r="U4" s="8" t="s">
        <v>78</v>
      </c>
      <c r="V4" s="8" t="s">
        <v>79</v>
      </c>
      <c r="W4" s="8" t="s">
        <v>80</v>
      </c>
      <c r="X4" s="8" t="s">
        <v>81</v>
      </c>
      <c r="Y4" s="8" t="s">
        <v>82</v>
      </c>
    </row>
    <row r="5" spans="1:37" ht="261" customHeight="1">
      <c r="A5" s="1">
        <v>21</v>
      </c>
      <c r="B5" s="8" t="s">
        <v>787</v>
      </c>
      <c r="C5" s="21" t="s">
        <v>779</v>
      </c>
      <c r="D5" s="21" t="s">
        <v>83</v>
      </c>
      <c r="E5" s="8" t="s">
        <v>84</v>
      </c>
      <c r="F5" s="8" t="s">
        <v>85</v>
      </c>
      <c r="G5" s="8">
        <v>2015</v>
      </c>
      <c r="H5" s="8" t="s">
        <v>780</v>
      </c>
      <c r="I5" s="8" t="s">
        <v>781</v>
      </c>
      <c r="J5" s="8" t="s">
        <v>788</v>
      </c>
      <c r="K5" s="8" t="s">
        <v>783</v>
      </c>
      <c r="L5" s="8" t="s">
        <v>87</v>
      </c>
      <c r="M5" s="8" t="s">
        <v>88</v>
      </c>
      <c r="N5" s="8" t="s">
        <v>89</v>
      </c>
      <c r="O5" s="8" t="s">
        <v>90</v>
      </c>
      <c r="P5" s="8" t="s">
        <v>91</v>
      </c>
      <c r="Q5" s="8" t="s">
        <v>92</v>
      </c>
      <c r="R5" s="6" t="s">
        <v>37</v>
      </c>
      <c r="S5" t="s">
        <v>93</v>
      </c>
      <c r="T5" t="s">
        <v>94</v>
      </c>
      <c r="U5" s="8" t="s">
        <v>95</v>
      </c>
      <c r="V5" s="8" t="s">
        <v>96</v>
      </c>
      <c r="W5" s="8" t="s">
        <v>97</v>
      </c>
      <c r="X5" s="8" t="s">
        <v>98</v>
      </c>
      <c r="Y5" s="8" t="s">
        <v>99</v>
      </c>
      <c r="Z5" s="8"/>
      <c r="AA5" s="8"/>
      <c r="AB5" s="7"/>
      <c r="AC5" s="1"/>
      <c r="AD5" s="7"/>
      <c r="AE5" s="7"/>
      <c r="AF5" s="7"/>
      <c r="AG5" s="7"/>
      <c r="AH5" s="7"/>
      <c r="AI5" s="7"/>
      <c r="AJ5" s="7"/>
      <c r="AK5" s="7"/>
    </row>
    <row r="6" spans="1:37" ht="165">
      <c r="A6" s="1">
        <v>40</v>
      </c>
      <c r="B6" s="8" t="s">
        <v>787</v>
      </c>
      <c r="C6" s="21" t="s">
        <v>789</v>
      </c>
      <c r="D6" s="21" t="s">
        <v>100</v>
      </c>
      <c r="E6" s="8" t="s">
        <v>101</v>
      </c>
      <c r="F6" s="8" t="s">
        <v>102</v>
      </c>
      <c r="G6" s="8">
        <v>2021</v>
      </c>
      <c r="H6" s="8" t="s">
        <v>790</v>
      </c>
      <c r="I6" s="7" t="s">
        <v>791</v>
      </c>
      <c r="J6" s="8" t="s">
        <v>792</v>
      </c>
      <c r="K6" s="8" t="s">
        <v>783</v>
      </c>
      <c r="L6" s="8" t="s">
        <v>106</v>
      </c>
      <c r="M6" s="8" t="s">
        <v>107</v>
      </c>
      <c r="N6" s="8" t="s">
        <v>108</v>
      </c>
      <c r="O6" s="8" t="s">
        <v>109</v>
      </c>
      <c r="P6" s="8" t="s">
        <v>110</v>
      </c>
      <c r="Q6" s="8" t="s">
        <v>111</v>
      </c>
      <c r="R6" s="7" t="s">
        <v>37</v>
      </c>
      <c r="S6" s="8" t="s">
        <v>112</v>
      </c>
      <c r="T6" s="8" t="s">
        <v>113</v>
      </c>
      <c r="U6" s="8" t="s">
        <v>114</v>
      </c>
      <c r="V6" s="8" t="s">
        <v>115</v>
      </c>
      <c r="W6" s="8" t="s">
        <v>116</v>
      </c>
      <c r="X6" s="8" t="s">
        <v>117</v>
      </c>
      <c r="Y6" s="8" t="s">
        <v>118</v>
      </c>
      <c r="AD6" s="8"/>
      <c r="AE6" s="8"/>
      <c r="AF6" s="8"/>
      <c r="AG6" s="8"/>
      <c r="AH6" s="8"/>
      <c r="AI6" s="8"/>
      <c r="AJ6" s="8"/>
      <c r="AK6" s="8"/>
    </row>
    <row r="7" spans="1:37" ht="120">
      <c r="A7" s="1">
        <v>48</v>
      </c>
      <c r="B7" s="8" t="s">
        <v>787</v>
      </c>
      <c r="C7" s="23" t="s">
        <v>779</v>
      </c>
      <c r="D7" s="23" t="s">
        <v>119</v>
      </c>
      <c r="E7" s="1" t="s">
        <v>120</v>
      </c>
      <c r="F7" s="5" t="s">
        <v>121</v>
      </c>
      <c r="G7" s="1">
        <v>2022</v>
      </c>
      <c r="H7" s="8" t="s">
        <v>780</v>
      </c>
      <c r="I7" s="8" t="s">
        <v>786</v>
      </c>
      <c r="J7" s="1" t="s">
        <v>122</v>
      </c>
      <c r="K7" s="8" t="s">
        <v>783</v>
      </c>
      <c r="L7" s="1" t="s">
        <v>123</v>
      </c>
      <c r="M7" s="15" t="s">
        <v>124</v>
      </c>
      <c r="N7" s="1" t="s">
        <v>125</v>
      </c>
      <c r="O7" s="1" t="s">
        <v>126</v>
      </c>
      <c r="P7" s="1" t="s">
        <v>127</v>
      </c>
      <c r="Q7" s="1" t="s">
        <v>128</v>
      </c>
      <c r="R7" s="1" t="s">
        <v>37</v>
      </c>
      <c r="S7" s="1" t="s">
        <v>129</v>
      </c>
      <c r="T7" s="1" t="s">
        <v>58</v>
      </c>
      <c r="U7" s="1" t="s">
        <v>130</v>
      </c>
      <c r="V7" s="1" t="s">
        <v>131</v>
      </c>
      <c r="W7" s="1" t="s">
        <v>132</v>
      </c>
      <c r="X7" s="1" t="s">
        <v>133</v>
      </c>
      <c r="Y7" s="1" t="s">
        <v>134</v>
      </c>
      <c r="Z7" s="6"/>
      <c r="AA7" s="6"/>
      <c r="AB7" s="6"/>
      <c r="AC7" s="6"/>
    </row>
    <row r="8" spans="1:37" ht="180">
      <c r="A8" s="2">
        <v>50</v>
      </c>
      <c r="B8" s="8" t="s">
        <v>787</v>
      </c>
      <c r="C8" s="21" t="s">
        <v>779</v>
      </c>
      <c r="D8" s="21" t="s">
        <v>135</v>
      </c>
      <c r="E8" s="8" t="s">
        <v>136</v>
      </c>
      <c r="F8" s="9" t="s">
        <v>137</v>
      </c>
      <c r="G8" s="8">
        <v>2014</v>
      </c>
      <c r="H8" s="8" t="s">
        <v>780</v>
      </c>
      <c r="I8" s="8" t="s">
        <v>786</v>
      </c>
      <c r="J8" s="8" t="s">
        <v>793</v>
      </c>
      <c r="K8" s="8" t="s">
        <v>783</v>
      </c>
      <c r="L8" s="8" t="s">
        <v>138</v>
      </c>
      <c r="M8" s="8" t="s">
        <v>139</v>
      </c>
      <c r="N8" s="8" t="s">
        <v>140</v>
      </c>
      <c r="O8" s="8" t="s">
        <v>141</v>
      </c>
      <c r="P8" s="8" t="s">
        <v>142</v>
      </c>
      <c r="Q8" s="8" t="s">
        <v>143</v>
      </c>
      <c r="R8" s="8" t="s">
        <v>37</v>
      </c>
      <c r="S8" s="8" t="s">
        <v>144</v>
      </c>
      <c r="T8" s="8" t="s">
        <v>58</v>
      </c>
      <c r="U8" s="8" t="s">
        <v>145</v>
      </c>
      <c r="V8" s="8" t="s">
        <v>146</v>
      </c>
      <c r="W8" s="8" t="s">
        <v>147</v>
      </c>
      <c r="X8" s="8" t="s">
        <v>133</v>
      </c>
      <c r="Y8" s="8" t="s">
        <v>148</v>
      </c>
      <c r="AD8" s="1"/>
      <c r="AE8" s="1"/>
      <c r="AF8" s="1"/>
      <c r="AG8" s="1"/>
      <c r="AH8" s="1"/>
      <c r="AI8" s="1"/>
      <c r="AJ8" s="1"/>
      <c r="AK8" s="1"/>
    </row>
    <row r="9" spans="1:37" s="7" customFormat="1" ht="390">
      <c r="A9" s="1">
        <v>51</v>
      </c>
      <c r="B9" s="8" t="s">
        <v>784</v>
      </c>
      <c r="C9" s="21" t="s">
        <v>779</v>
      </c>
      <c r="D9" s="21" t="s">
        <v>149</v>
      </c>
      <c r="E9" s="8" t="s">
        <v>150</v>
      </c>
      <c r="F9" s="9" t="s">
        <v>151</v>
      </c>
      <c r="G9" s="8">
        <v>2014</v>
      </c>
      <c r="H9" s="8" t="s">
        <v>780</v>
      </c>
      <c r="I9" s="8" t="s">
        <v>786</v>
      </c>
      <c r="J9" s="8" t="s">
        <v>152</v>
      </c>
      <c r="K9" s="8" t="s">
        <v>783</v>
      </c>
      <c r="L9" s="8" t="s">
        <v>153</v>
      </c>
      <c r="M9" s="8" t="s">
        <v>154</v>
      </c>
      <c r="N9" s="8" t="s">
        <v>155</v>
      </c>
      <c r="O9" s="8" t="s">
        <v>156</v>
      </c>
      <c r="P9" s="8" t="s">
        <v>794</v>
      </c>
      <c r="Q9" s="8" t="s">
        <v>795</v>
      </c>
      <c r="R9" s="8" t="s">
        <v>157</v>
      </c>
      <c r="S9" s="8" t="s">
        <v>158</v>
      </c>
      <c r="T9" s="8" t="s">
        <v>37</v>
      </c>
      <c r="U9" s="8" t="s">
        <v>159</v>
      </c>
      <c r="V9" s="8" t="s">
        <v>58</v>
      </c>
      <c r="W9" s="8" t="s">
        <v>160</v>
      </c>
      <c r="X9" s="8" t="s">
        <v>161</v>
      </c>
      <c r="Y9" s="8" t="s">
        <v>162</v>
      </c>
      <c r="Z9" s="8" t="s">
        <v>796</v>
      </c>
      <c r="AA9" s="8" t="s">
        <v>797</v>
      </c>
      <c r="AB9"/>
      <c r="AC9"/>
    </row>
    <row r="10" spans="1:37" s="7" customFormat="1" ht="164.25" customHeight="1">
      <c r="A10" s="1">
        <v>59</v>
      </c>
      <c r="B10" s="8" t="s">
        <v>784</v>
      </c>
      <c r="C10" s="21" t="s">
        <v>779</v>
      </c>
      <c r="D10" s="26" t="s">
        <v>163</v>
      </c>
      <c r="E10" s="8" t="s">
        <v>164</v>
      </c>
      <c r="F10" s="8" t="s">
        <v>165</v>
      </c>
      <c r="G10" s="8">
        <v>2015</v>
      </c>
      <c r="H10" s="8" t="s">
        <v>780</v>
      </c>
      <c r="I10" s="8" t="s">
        <v>786</v>
      </c>
      <c r="J10" s="8" t="s">
        <v>166</v>
      </c>
      <c r="K10" s="8" t="s">
        <v>783</v>
      </c>
      <c r="L10" s="8" t="s">
        <v>167</v>
      </c>
      <c r="M10" s="8"/>
      <c r="N10" s="8" t="s">
        <v>168</v>
      </c>
      <c r="O10" s="8" t="s">
        <v>169</v>
      </c>
      <c r="P10" s="8" t="s">
        <v>170</v>
      </c>
      <c r="Q10" s="8" t="s">
        <v>171</v>
      </c>
      <c r="R10" s="8" t="s">
        <v>37</v>
      </c>
      <c r="S10" s="8" t="s">
        <v>172</v>
      </c>
      <c r="T10" s="8" t="s">
        <v>173</v>
      </c>
      <c r="U10" s="8" t="s">
        <v>174</v>
      </c>
      <c r="V10" s="8" t="s">
        <v>175</v>
      </c>
      <c r="W10" s="8" t="s">
        <v>176</v>
      </c>
      <c r="X10" s="8" t="s">
        <v>177</v>
      </c>
      <c r="Y10" s="8" t="s">
        <v>178</v>
      </c>
      <c r="Z10"/>
      <c r="AA10"/>
      <c r="AB10"/>
      <c r="AC10"/>
    </row>
    <row r="11" spans="1:37" s="7" customFormat="1" ht="390">
      <c r="A11" s="1">
        <v>75</v>
      </c>
      <c r="B11" s="8" t="s">
        <v>784</v>
      </c>
      <c r="C11" s="21" t="s">
        <v>779</v>
      </c>
      <c r="D11" s="21" t="s">
        <v>179</v>
      </c>
      <c r="E11" s="9" t="s">
        <v>180</v>
      </c>
      <c r="F11" s="9" t="s">
        <v>181</v>
      </c>
      <c r="G11" s="8">
        <v>2018</v>
      </c>
      <c r="H11" s="8" t="s">
        <v>780</v>
      </c>
      <c r="I11" s="8" t="s">
        <v>786</v>
      </c>
      <c r="J11" s="8" t="s">
        <v>182</v>
      </c>
      <c r="K11" s="8" t="s">
        <v>783</v>
      </c>
      <c r="L11" s="8" t="s">
        <v>183</v>
      </c>
      <c r="M11" s="8" t="s">
        <v>184</v>
      </c>
      <c r="N11" s="8" t="s">
        <v>185</v>
      </c>
      <c r="O11" s="8" t="s">
        <v>186</v>
      </c>
      <c r="P11" s="8" t="s">
        <v>187</v>
      </c>
      <c r="Q11" s="8" t="s">
        <v>188</v>
      </c>
      <c r="R11" s="8" t="s">
        <v>37</v>
      </c>
      <c r="S11" s="8" t="s">
        <v>189</v>
      </c>
      <c r="T11" s="8" t="s">
        <v>190</v>
      </c>
      <c r="U11" s="8" t="s">
        <v>191</v>
      </c>
      <c r="V11" s="8" t="s">
        <v>192</v>
      </c>
      <c r="W11" s="8" t="s">
        <v>193</v>
      </c>
      <c r="X11" s="8" t="s">
        <v>194</v>
      </c>
      <c r="Y11" s="8" t="s">
        <v>195</v>
      </c>
      <c r="Z11"/>
      <c r="AA11"/>
      <c r="AB11"/>
      <c r="AC11"/>
    </row>
    <row r="12" spans="1:37" s="7" customFormat="1" ht="135">
      <c r="A12" s="1">
        <v>76</v>
      </c>
      <c r="B12" s="8" t="s">
        <v>784</v>
      </c>
      <c r="C12" s="26" t="s">
        <v>779</v>
      </c>
      <c r="D12" s="19" t="s">
        <v>196</v>
      </c>
      <c r="E12" s="8" t="s">
        <v>197</v>
      </c>
      <c r="F12" s="9" t="s">
        <v>198</v>
      </c>
      <c r="G12" s="9">
        <v>2019</v>
      </c>
      <c r="H12" s="8" t="s">
        <v>780</v>
      </c>
      <c r="I12" s="8" t="s">
        <v>786</v>
      </c>
      <c r="J12" s="8" t="s">
        <v>199</v>
      </c>
      <c r="K12" s="8" t="s">
        <v>783</v>
      </c>
      <c r="L12" s="8" t="s">
        <v>200</v>
      </c>
      <c r="M12" s="8" t="s">
        <v>201</v>
      </c>
      <c r="N12" s="8" t="s">
        <v>202</v>
      </c>
      <c r="O12" s="8" t="s">
        <v>203</v>
      </c>
      <c r="P12" s="8" t="s">
        <v>204</v>
      </c>
      <c r="Q12" s="8" t="s">
        <v>205</v>
      </c>
      <c r="R12" s="8" t="s">
        <v>37</v>
      </c>
      <c r="S12" s="8" t="s">
        <v>206</v>
      </c>
      <c r="T12" s="8" t="s">
        <v>207</v>
      </c>
      <c r="U12" s="8" t="s">
        <v>208</v>
      </c>
      <c r="V12" s="8" t="s">
        <v>209</v>
      </c>
      <c r="W12" s="8" t="s">
        <v>210</v>
      </c>
      <c r="X12" s="8" t="s">
        <v>211</v>
      </c>
      <c r="Y12" s="8" t="s">
        <v>212</v>
      </c>
      <c r="Z12" s="8"/>
      <c r="AA12"/>
      <c r="AB12"/>
      <c r="AC12"/>
      <c r="AD12" s="6"/>
      <c r="AE12" s="6"/>
      <c r="AF12" s="6"/>
      <c r="AG12" s="6"/>
      <c r="AH12" s="6"/>
      <c r="AI12" s="6"/>
      <c r="AJ12" s="6"/>
      <c r="AK12" s="6"/>
    </row>
    <row r="13" spans="1:37" ht="315">
      <c r="A13" s="1">
        <v>454</v>
      </c>
      <c r="B13" s="1" t="s">
        <v>784</v>
      </c>
      <c r="C13" s="23" t="s">
        <v>779</v>
      </c>
      <c r="D13" s="22" t="s">
        <v>213</v>
      </c>
      <c r="E13" s="7" t="s">
        <v>214</v>
      </c>
      <c r="F13" s="7" t="s">
        <v>215</v>
      </c>
      <c r="G13" s="7">
        <v>2018</v>
      </c>
      <c r="H13" s="7" t="s">
        <v>780</v>
      </c>
      <c r="I13" s="8" t="s">
        <v>781</v>
      </c>
      <c r="J13" s="7" t="s">
        <v>216</v>
      </c>
      <c r="K13" s="8" t="s">
        <v>783</v>
      </c>
      <c r="L13" s="7" t="s">
        <v>217</v>
      </c>
      <c r="M13" s="17" t="s">
        <v>218</v>
      </c>
      <c r="N13" s="1" t="s">
        <v>219</v>
      </c>
      <c r="O13" s="7"/>
      <c r="P13" s="7" t="s">
        <v>220</v>
      </c>
      <c r="Q13" s="7" t="s">
        <v>221</v>
      </c>
      <c r="R13" s="7" t="s">
        <v>222</v>
      </c>
      <c r="S13" s="7" t="s">
        <v>223</v>
      </c>
      <c r="T13" s="7" t="s">
        <v>224</v>
      </c>
      <c r="U13" s="7" t="s">
        <v>225</v>
      </c>
      <c r="V13" s="7" t="s">
        <v>226</v>
      </c>
      <c r="W13" s="7" t="s">
        <v>227</v>
      </c>
      <c r="X13" s="7" t="s">
        <v>228</v>
      </c>
      <c r="Y13" s="7" t="s">
        <v>229</v>
      </c>
      <c r="Z13" s="7"/>
      <c r="AA13" s="7"/>
    </row>
    <row r="14" spans="1:37" ht="195">
      <c r="A14" s="8">
        <v>789</v>
      </c>
      <c r="B14" s="11">
        <v>45201</v>
      </c>
      <c r="C14" s="21" t="s">
        <v>789</v>
      </c>
      <c r="D14" s="21" t="s">
        <v>230</v>
      </c>
      <c r="E14" s="8" t="s">
        <v>231</v>
      </c>
      <c r="F14" s="9" t="s">
        <v>232</v>
      </c>
      <c r="G14" s="8">
        <v>2023</v>
      </c>
      <c r="H14" s="8" t="s">
        <v>780</v>
      </c>
      <c r="I14" s="8" t="s">
        <v>786</v>
      </c>
      <c r="J14" s="8" t="s">
        <v>798</v>
      </c>
      <c r="K14" s="8" t="s">
        <v>783</v>
      </c>
      <c r="L14" s="8" t="s">
        <v>234</v>
      </c>
      <c r="M14" s="15" t="s">
        <v>235</v>
      </c>
      <c r="N14" s="8" t="s">
        <v>236</v>
      </c>
      <c r="O14" s="8" t="s">
        <v>799</v>
      </c>
      <c r="P14" s="8" t="s">
        <v>237</v>
      </c>
      <c r="Q14" s="8" t="s">
        <v>800</v>
      </c>
      <c r="R14" s="8">
        <v>1.0569999999999999</v>
      </c>
      <c r="S14" s="8" t="s">
        <v>111</v>
      </c>
      <c r="T14" s="8" t="s">
        <v>37</v>
      </c>
      <c r="U14" s="8" t="s">
        <v>238</v>
      </c>
      <c r="V14" s="8" t="s">
        <v>239</v>
      </c>
      <c r="W14" s="8" t="s">
        <v>240</v>
      </c>
      <c r="X14" s="8" t="s">
        <v>241</v>
      </c>
      <c r="Y14" s="8" t="s">
        <v>242</v>
      </c>
      <c r="Z14" s="8" t="s">
        <v>801</v>
      </c>
      <c r="AA14" s="8" t="s">
        <v>802</v>
      </c>
    </row>
    <row r="15" spans="1:37" ht="150">
      <c r="A15" s="2">
        <v>993</v>
      </c>
      <c r="B15" s="1" t="s">
        <v>803</v>
      </c>
      <c r="C15" s="21" t="s">
        <v>789</v>
      </c>
      <c r="D15" s="23" t="s">
        <v>243</v>
      </c>
      <c r="E15" s="1" t="s">
        <v>244</v>
      </c>
      <c r="F15" s="1" t="s">
        <v>245</v>
      </c>
      <c r="G15" s="1">
        <v>2022</v>
      </c>
      <c r="H15" s="1" t="s">
        <v>780</v>
      </c>
      <c r="I15" s="8" t="s">
        <v>786</v>
      </c>
      <c r="J15" s="1" t="s">
        <v>246</v>
      </c>
      <c r="K15" s="8" t="s">
        <v>783</v>
      </c>
      <c r="L15" s="1" t="s">
        <v>247</v>
      </c>
      <c r="M15" s="1" t="s">
        <v>248</v>
      </c>
      <c r="N15" s="1" t="s">
        <v>249</v>
      </c>
      <c r="O15" s="1"/>
      <c r="P15" s="1" t="s">
        <v>250</v>
      </c>
      <c r="Q15" s="1" t="s">
        <v>251</v>
      </c>
      <c r="R15" s="1" t="s">
        <v>252</v>
      </c>
      <c r="S15" s="1" t="s">
        <v>37</v>
      </c>
      <c r="T15" s="1" t="s">
        <v>253</v>
      </c>
      <c r="U15" s="1" t="s">
        <v>254</v>
      </c>
      <c r="V15" s="1" t="s">
        <v>255</v>
      </c>
      <c r="W15" s="1" t="s">
        <v>256</v>
      </c>
      <c r="X15" s="1" t="s">
        <v>257</v>
      </c>
      <c r="Y15" s="1" t="s">
        <v>118</v>
      </c>
      <c r="Z15" s="10"/>
      <c r="AA15" s="10"/>
    </row>
    <row r="16" spans="1:37" ht="255">
      <c r="A16" s="21">
        <v>1050</v>
      </c>
      <c r="B16" s="21" t="s">
        <v>804</v>
      </c>
      <c r="C16" s="21" t="s">
        <v>789</v>
      </c>
      <c r="D16" s="21" t="s">
        <v>258</v>
      </c>
      <c r="E16" s="7" t="s">
        <v>259</v>
      </c>
      <c r="F16" s="7" t="s">
        <v>260</v>
      </c>
      <c r="G16" s="7">
        <v>2013</v>
      </c>
      <c r="H16" s="7" t="s">
        <v>780</v>
      </c>
      <c r="I16" s="8" t="s">
        <v>781</v>
      </c>
      <c r="J16" s="7" t="s">
        <v>805</v>
      </c>
      <c r="K16" s="8" t="s">
        <v>783</v>
      </c>
      <c r="L16" s="12" t="s">
        <v>262</v>
      </c>
      <c r="M16" s="12" t="s">
        <v>263</v>
      </c>
      <c r="N16" s="8" t="s">
        <v>264</v>
      </c>
      <c r="O16" s="8" t="s">
        <v>265</v>
      </c>
      <c r="P16" s="7">
        <v>77</v>
      </c>
      <c r="Q16" s="7" t="s">
        <v>266</v>
      </c>
      <c r="R16" s="7" t="s">
        <v>37</v>
      </c>
      <c r="S16" s="7" t="s">
        <v>267</v>
      </c>
      <c r="T16" s="7" t="s">
        <v>268</v>
      </c>
      <c r="U16" s="7" t="s">
        <v>269</v>
      </c>
      <c r="V16" s="7" t="s">
        <v>270</v>
      </c>
      <c r="W16" s="7" t="s">
        <v>271</v>
      </c>
      <c r="X16" s="7" t="s">
        <v>272</v>
      </c>
      <c r="Y16" s="7" t="s">
        <v>118</v>
      </c>
      <c r="Z16" s="7"/>
      <c r="AA16" s="7"/>
    </row>
    <row r="17" spans="1:37" ht="120">
      <c r="A17" s="1">
        <v>1097</v>
      </c>
      <c r="B17" s="4">
        <v>45567</v>
      </c>
      <c r="C17" s="22" t="s">
        <v>779</v>
      </c>
      <c r="D17" s="22" t="s">
        <v>273</v>
      </c>
      <c r="E17" s="7" t="s">
        <v>274</v>
      </c>
      <c r="F17" s="14" t="s">
        <v>275</v>
      </c>
      <c r="G17" s="7">
        <v>2016</v>
      </c>
      <c r="H17" s="7" t="s">
        <v>780</v>
      </c>
      <c r="I17" s="8" t="s">
        <v>781</v>
      </c>
      <c r="J17" s="7" t="s">
        <v>216</v>
      </c>
      <c r="K17" s="8" t="s">
        <v>783</v>
      </c>
      <c r="L17" s="7" t="s">
        <v>276</v>
      </c>
      <c r="M17" s="7" t="s">
        <v>277</v>
      </c>
      <c r="N17" s="7" t="s">
        <v>278</v>
      </c>
      <c r="O17" s="7" t="s">
        <v>279</v>
      </c>
      <c r="P17" s="7">
        <v>221</v>
      </c>
      <c r="Q17" s="7" t="s">
        <v>280</v>
      </c>
      <c r="R17" s="7" t="s">
        <v>37</v>
      </c>
      <c r="S17" s="7" t="s">
        <v>281</v>
      </c>
      <c r="T17" s="7" t="s">
        <v>282</v>
      </c>
      <c r="U17" s="7" t="s">
        <v>283</v>
      </c>
      <c r="V17" s="7" t="s">
        <v>284</v>
      </c>
      <c r="W17" s="7" t="s">
        <v>285</v>
      </c>
      <c r="X17" s="7" t="s">
        <v>116</v>
      </c>
      <c r="Y17" s="7" t="s">
        <v>286</v>
      </c>
      <c r="Z17" s="7"/>
      <c r="AA17" s="7"/>
    </row>
    <row r="18" spans="1:37" ht="165" customHeight="1">
      <c r="A18" s="1">
        <v>1222</v>
      </c>
      <c r="B18" s="1" t="s">
        <v>784</v>
      </c>
      <c r="C18" s="22" t="s">
        <v>779</v>
      </c>
      <c r="D18" s="22" t="s">
        <v>287</v>
      </c>
      <c r="E18" s="7" t="s">
        <v>287</v>
      </c>
      <c r="F18" s="7" t="s">
        <v>288</v>
      </c>
      <c r="G18" s="7">
        <v>2012</v>
      </c>
      <c r="H18" s="7" t="s">
        <v>780</v>
      </c>
      <c r="I18" s="8" t="s">
        <v>781</v>
      </c>
      <c r="J18" s="7" t="s">
        <v>806</v>
      </c>
      <c r="K18" s="8" t="s">
        <v>783</v>
      </c>
      <c r="L18" s="7" t="s">
        <v>290</v>
      </c>
      <c r="M18" s="7" t="s">
        <v>291</v>
      </c>
      <c r="N18" s="7" t="s">
        <v>292</v>
      </c>
      <c r="O18" s="7" t="s">
        <v>293</v>
      </c>
      <c r="P18" s="7" t="s">
        <v>294</v>
      </c>
      <c r="Q18" s="7" t="s">
        <v>111</v>
      </c>
      <c r="R18" s="7" t="s">
        <v>37</v>
      </c>
      <c r="S18" s="7" t="s">
        <v>295</v>
      </c>
      <c r="T18" s="7" t="s">
        <v>58</v>
      </c>
      <c r="U18" s="7" t="s">
        <v>296</v>
      </c>
      <c r="V18" s="7" t="s">
        <v>297</v>
      </c>
      <c r="W18" s="7" t="s">
        <v>298</v>
      </c>
      <c r="X18" s="7" t="s">
        <v>299</v>
      </c>
      <c r="Y18" s="7"/>
      <c r="Z18" s="7"/>
      <c r="AA18" s="7"/>
      <c r="AB18" s="7"/>
      <c r="AC18" s="7"/>
    </row>
    <row r="19" spans="1:37" ht="255">
      <c r="A19" s="1">
        <v>1276</v>
      </c>
      <c r="B19" s="1" t="s">
        <v>784</v>
      </c>
      <c r="C19" s="22" t="s">
        <v>779</v>
      </c>
      <c r="D19" s="20" t="s">
        <v>300</v>
      </c>
      <c r="E19" s="7" t="s">
        <v>301</v>
      </c>
      <c r="F19" s="14" t="s">
        <v>302</v>
      </c>
      <c r="G19" s="7">
        <v>2006</v>
      </c>
      <c r="H19" s="7" t="s">
        <v>780</v>
      </c>
      <c r="I19" s="8" t="s">
        <v>786</v>
      </c>
      <c r="J19" s="7" t="s">
        <v>793</v>
      </c>
      <c r="K19" s="8" t="s">
        <v>783</v>
      </c>
      <c r="L19" s="7" t="s">
        <v>303</v>
      </c>
      <c r="M19" s="7" t="s">
        <v>304</v>
      </c>
      <c r="N19" s="7" t="s">
        <v>305</v>
      </c>
      <c r="O19" s="7" t="s">
        <v>306</v>
      </c>
      <c r="P19" s="7" t="s">
        <v>307</v>
      </c>
      <c r="Q19" s="7" t="s">
        <v>308</v>
      </c>
      <c r="R19" s="7" t="s">
        <v>37</v>
      </c>
      <c r="S19" s="7" t="s">
        <v>309</v>
      </c>
      <c r="T19" s="7" t="s">
        <v>310</v>
      </c>
      <c r="U19" s="7" t="s">
        <v>311</v>
      </c>
      <c r="V19" s="7" t="s">
        <v>312</v>
      </c>
      <c r="W19" s="7" t="s">
        <v>313</v>
      </c>
      <c r="X19" s="7" t="s">
        <v>314</v>
      </c>
      <c r="Y19" s="7" t="s">
        <v>315</v>
      </c>
      <c r="Z19" s="7"/>
      <c r="AA19" s="7"/>
    </row>
    <row r="20" spans="1:37" ht="210">
      <c r="A20" s="1">
        <v>1338</v>
      </c>
      <c r="B20" s="1" t="s">
        <v>784</v>
      </c>
      <c r="C20" s="23" t="s">
        <v>807</v>
      </c>
      <c r="D20" s="23" t="s">
        <v>316</v>
      </c>
      <c r="E20" s="1" t="s">
        <v>317</v>
      </c>
      <c r="F20" s="1" t="s">
        <v>318</v>
      </c>
      <c r="G20" s="1">
        <v>2016</v>
      </c>
      <c r="H20" s="1" t="s">
        <v>780</v>
      </c>
      <c r="I20" s="7" t="s">
        <v>791</v>
      </c>
      <c r="J20" s="1" t="s">
        <v>808</v>
      </c>
      <c r="K20" s="8" t="s">
        <v>783</v>
      </c>
      <c r="L20" s="1" t="s">
        <v>320</v>
      </c>
      <c r="M20" s="18" t="s">
        <v>321</v>
      </c>
      <c r="N20" s="1" t="s">
        <v>322</v>
      </c>
      <c r="O20" s="1" t="s">
        <v>323</v>
      </c>
      <c r="P20" s="1" t="s">
        <v>324</v>
      </c>
      <c r="Q20" s="1" t="s">
        <v>325</v>
      </c>
      <c r="R20" s="1">
        <v>71</v>
      </c>
      <c r="S20" s="1" t="s">
        <v>326</v>
      </c>
      <c r="T20" s="1" t="s">
        <v>327</v>
      </c>
      <c r="U20" s="1" t="s">
        <v>328</v>
      </c>
      <c r="V20" s="1" t="s">
        <v>58</v>
      </c>
      <c r="W20" s="1" t="s">
        <v>329</v>
      </c>
      <c r="X20" s="1" t="s">
        <v>330</v>
      </c>
      <c r="Y20" s="1" t="s">
        <v>331</v>
      </c>
      <c r="Z20" s="1" t="s">
        <v>809</v>
      </c>
      <c r="AA20" s="1" t="s">
        <v>810</v>
      </c>
    </row>
    <row r="21" spans="1:37" ht="330">
      <c r="A21" s="1">
        <v>1358</v>
      </c>
      <c r="B21" s="1" t="s">
        <v>787</v>
      </c>
      <c r="C21" s="22" t="s">
        <v>807</v>
      </c>
      <c r="D21" s="22" t="s">
        <v>332</v>
      </c>
      <c r="E21" s="7" t="s">
        <v>333</v>
      </c>
      <c r="F21" s="7" t="s">
        <v>334</v>
      </c>
      <c r="G21" s="7">
        <v>2015</v>
      </c>
      <c r="H21" s="7" t="s">
        <v>780</v>
      </c>
      <c r="I21" s="7" t="s">
        <v>791</v>
      </c>
      <c r="J21" s="7" t="s">
        <v>335</v>
      </c>
      <c r="K21" s="8" t="s">
        <v>783</v>
      </c>
      <c r="L21" s="7" t="s">
        <v>336</v>
      </c>
      <c r="M21" s="7" t="s">
        <v>337</v>
      </c>
      <c r="N21" s="7" t="s">
        <v>338</v>
      </c>
      <c r="O21" s="7"/>
      <c r="P21" s="7">
        <v>122</v>
      </c>
      <c r="Q21" s="7" t="s">
        <v>339</v>
      </c>
      <c r="R21" s="7" t="s">
        <v>37</v>
      </c>
      <c r="S21" s="7" t="s">
        <v>340</v>
      </c>
      <c r="T21" s="7" t="s">
        <v>341</v>
      </c>
      <c r="U21" s="7" t="s">
        <v>342</v>
      </c>
      <c r="V21" s="7" t="s">
        <v>343</v>
      </c>
      <c r="W21" s="7" t="s">
        <v>344</v>
      </c>
      <c r="X21" s="7" t="s">
        <v>345</v>
      </c>
      <c r="Y21" s="7" t="s">
        <v>346</v>
      </c>
      <c r="Z21" s="7"/>
      <c r="AA21" s="7"/>
    </row>
    <row r="22" spans="1:37" ht="195">
      <c r="A22" s="1">
        <v>1362</v>
      </c>
      <c r="B22" s="1" t="s">
        <v>787</v>
      </c>
      <c r="C22" s="23" t="s">
        <v>811</v>
      </c>
      <c r="D22" s="22" t="s">
        <v>347</v>
      </c>
      <c r="E22" s="7" t="s">
        <v>347</v>
      </c>
      <c r="F22" s="7" t="s">
        <v>348</v>
      </c>
      <c r="G22" s="7">
        <v>2013</v>
      </c>
      <c r="H22" s="7" t="s">
        <v>780</v>
      </c>
      <c r="I22" s="7" t="s">
        <v>791</v>
      </c>
      <c r="J22" s="7" t="s">
        <v>216</v>
      </c>
      <c r="K22" s="8" t="s">
        <v>783</v>
      </c>
      <c r="L22" s="7" t="s">
        <v>349</v>
      </c>
      <c r="M22" s="7" t="s">
        <v>350</v>
      </c>
      <c r="N22" s="7" t="s">
        <v>351</v>
      </c>
      <c r="O22" s="7" t="s">
        <v>352</v>
      </c>
      <c r="P22" s="7">
        <v>344</v>
      </c>
      <c r="Q22" s="7" t="s">
        <v>353</v>
      </c>
      <c r="R22" s="7" t="s">
        <v>354</v>
      </c>
      <c r="S22" s="7" t="s">
        <v>355</v>
      </c>
      <c r="T22" s="7" t="s">
        <v>356</v>
      </c>
      <c r="U22" s="7" t="s">
        <v>357</v>
      </c>
      <c r="V22" s="7" t="s">
        <v>358</v>
      </c>
      <c r="W22" s="7" t="s">
        <v>359</v>
      </c>
      <c r="X22" s="7" t="s">
        <v>360</v>
      </c>
      <c r="Y22" s="7" t="s">
        <v>361</v>
      </c>
      <c r="Z22" s="7"/>
      <c r="AA22" s="7"/>
    </row>
    <row r="23" spans="1:37" ht="120">
      <c r="A23" s="1">
        <v>1363</v>
      </c>
      <c r="B23" s="1" t="s">
        <v>784</v>
      </c>
      <c r="C23" s="22" t="s">
        <v>779</v>
      </c>
      <c r="D23" s="22" t="s">
        <v>362</v>
      </c>
      <c r="E23" s="7" t="s">
        <v>363</v>
      </c>
      <c r="F23" s="7" t="s">
        <v>364</v>
      </c>
      <c r="G23" s="7">
        <v>2014</v>
      </c>
      <c r="H23" s="7" t="s">
        <v>780</v>
      </c>
      <c r="I23" s="8" t="s">
        <v>786</v>
      </c>
      <c r="J23" s="7" t="s">
        <v>365</v>
      </c>
      <c r="K23" s="8" t="s">
        <v>783</v>
      </c>
      <c r="L23" s="7" t="s">
        <v>367</v>
      </c>
      <c r="M23" s="7" t="s">
        <v>368</v>
      </c>
      <c r="N23" s="7" t="s">
        <v>369</v>
      </c>
      <c r="O23" s="7" t="s">
        <v>370</v>
      </c>
      <c r="P23" s="7">
        <v>156</v>
      </c>
      <c r="Q23" s="7" t="s">
        <v>371</v>
      </c>
      <c r="R23" s="7" t="s">
        <v>327</v>
      </c>
      <c r="S23" s="7" t="s">
        <v>372</v>
      </c>
      <c r="T23" s="7" t="s">
        <v>58</v>
      </c>
      <c r="U23" s="7" t="s">
        <v>373</v>
      </c>
      <c r="V23" s="7" t="s">
        <v>374</v>
      </c>
      <c r="W23" s="7" t="s">
        <v>375</v>
      </c>
      <c r="X23" s="7" t="s">
        <v>376</v>
      </c>
      <c r="Y23" s="7" t="s">
        <v>377</v>
      </c>
      <c r="Z23" s="7"/>
      <c r="AA23" s="7"/>
    </row>
    <row r="24" spans="1:37" ht="180">
      <c r="A24" s="1">
        <v>1374</v>
      </c>
      <c r="B24" s="1" t="s">
        <v>784</v>
      </c>
      <c r="C24" s="23" t="s">
        <v>779</v>
      </c>
      <c r="D24" s="23" t="s">
        <v>378</v>
      </c>
      <c r="E24" s="1" t="s">
        <v>379</v>
      </c>
      <c r="F24" s="1" t="s">
        <v>380</v>
      </c>
      <c r="G24" s="1">
        <v>2016</v>
      </c>
      <c r="H24" s="1" t="s">
        <v>780</v>
      </c>
      <c r="I24" s="8" t="s">
        <v>781</v>
      </c>
      <c r="J24" s="1" t="s">
        <v>365</v>
      </c>
      <c r="K24" s="8" t="s">
        <v>783</v>
      </c>
      <c r="L24" s="1" t="s">
        <v>381</v>
      </c>
      <c r="M24" s="1" t="s">
        <v>382</v>
      </c>
      <c r="N24" s="1" t="s">
        <v>383</v>
      </c>
      <c r="O24" s="1" t="s">
        <v>384</v>
      </c>
      <c r="P24" s="7"/>
      <c r="Q24" s="1" t="s">
        <v>385</v>
      </c>
      <c r="R24" s="1" t="s">
        <v>386</v>
      </c>
      <c r="S24" s="1" t="s">
        <v>75</v>
      </c>
      <c r="T24" s="1" t="s">
        <v>387</v>
      </c>
      <c r="U24" s="1" t="s">
        <v>386</v>
      </c>
      <c r="V24" s="1" t="s">
        <v>388</v>
      </c>
      <c r="W24" s="1" t="s">
        <v>389</v>
      </c>
      <c r="X24" s="1" t="s">
        <v>390</v>
      </c>
      <c r="Y24" s="7"/>
      <c r="Z24" s="7"/>
      <c r="AA24" s="7"/>
    </row>
    <row r="25" spans="1:37" ht="285">
      <c r="A25" s="1">
        <v>1399</v>
      </c>
      <c r="B25" s="1" t="s">
        <v>787</v>
      </c>
      <c r="C25" s="22" t="s">
        <v>779</v>
      </c>
      <c r="D25" s="22" t="s">
        <v>391</v>
      </c>
      <c r="E25" s="7" t="s">
        <v>392</v>
      </c>
      <c r="F25" s="7" t="s">
        <v>393</v>
      </c>
      <c r="G25" s="7">
        <v>2017</v>
      </c>
      <c r="H25" s="7" t="s">
        <v>780</v>
      </c>
      <c r="I25" s="8" t="s">
        <v>786</v>
      </c>
      <c r="J25" s="7" t="s">
        <v>365</v>
      </c>
      <c r="K25" s="8" t="s">
        <v>783</v>
      </c>
      <c r="L25" s="7" t="s">
        <v>394</v>
      </c>
      <c r="M25" s="7" t="s">
        <v>395</v>
      </c>
      <c r="N25" s="7"/>
      <c r="O25" s="7" t="s">
        <v>396</v>
      </c>
      <c r="P25" s="7">
        <v>213</v>
      </c>
      <c r="Q25" s="7" t="s">
        <v>397</v>
      </c>
      <c r="R25" s="7" t="s">
        <v>37</v>
      </c>
      <c r="S25" s="7" t="s">
        <v>398</v>
      </c>
      <c r="T25" s="7" t="s">
        <v>399</v>
      </c>
      <c r="U25" s="7" t="s">
        <v>400</v>
      </c>
      <c r="V25" s="7" t="s">
        <v>401</v>
      </c>
      <c r="W25" s="7" t="s">
        <v>402</v>
      </c>
      <c r="X25" s="7" t="s">
        <v>403</v>
      </c>
      <c r="Y25" s="7" t="s">
        <v>404</v>
      </c>
      <c r="Z25" s="7"/>
      <c r="AA25" s="7"/>
    </row>
    <row r="26" spans="1:37" ht="345">
      <c r="A26" s="1">
        <v>1550</v>
      </c>
      <c r="B26" s="7" t="s">
        <v>784</v>
      </c>
      <c r="C26" s="22" t="s">
        <v>779</v>
      </c>
      <c r="D26" s="25" t="s">
        <v>405</v>
      </c>
      <c r="E26" s="7" t="s">
        <v>406</v>
      </c>
      <c r="F26" s="7" t="s">
        <v>407</v>
      </c>
      <c r="G26" s="7">
        <v>2018</v>
      </c>
      <c r="H26" s="7" t="s">
        <v>812</v>
      </c>
      <c r="I26" s="7" t="s">
        <v>791</v>
      </c>
      <c r="J26" s="7" t="s">
        <v>813</v>
      </c>
      <c r="K26" s="8" t="s">
        <v>783</v>
      </c>
      <c r="L26" s="7" t="s">
        <v>410</v>
      </c>
      <c r="M26" t="s">
        <v>411</v>
      </c>
      <c r="N26" s="7"/>
      <c r="O26" s="7"/>
      <c r="P26" s="7" t="s">
        <v>412</v>
      </c>
      <c r="Q26" s="7" t="s">
        <v>413</v>
      </c>
      <c r="R26" s="7">
        <v>95</v>
      </c>
      <c r="S26" s="7" t="s">
        <v>414</v>
      </c>
      <c r="T26" s="7" t="s">
        <v>354</v>
      </c>
      <c r="U26" s="7" t="s">
        <v>415</v>
      </c>
      <c r="V26" s="7" t="s">
        <v>416</v>
      </c>
      <c r="W26" s="7" t="s">
        <v>417</v>
      </c>
      <c r="X26" s="7" t="s">
        <v>418</v>
      </c>
      <c r="Y26" s="7" t="s">
        <v>419</v>
      </c>
      <c r="Z26" s="7" t="s">
        <v>814</v>
      </c>
      <c r="AA26" s="7" t="s">
        <v>286</v>
      </c>
    </row>
    <row r="27" spans="1:37" ht="210">
      <c r="A27" s="1">
        <v>1551</v>
      </c>
      <c r="B27" s="1" t="s">
        <v>787</v>
      </c>
      <c r="C27" s="22" t="s">
        <v>779</v>
      </c>
      <c r="D27" s="22" t="s">
        <v>420</v>
      </c>
      <c r="E27" s="7" t="s">
        <v>421</v>
      </c>
      <c r="F27" s="13" t="s">
        <v>422</v>
      </c>
      <c r="G27" s="7">
        <v>2019</v>
      </c>
      <c r="H27" s="7" t="s">
        <v>785</v>
      </c>
      <c r="I27" s="8" t="s">
        <v>781</v>
      </c>
      <c r="J27" s="7" t="s">
        <v>815</v>
      </c>
      <c r="K27" s="8" t="s">
        <v>783</v>
      </c>
      <c r="L27" s="7" t="s">
        <v>424</v>
      </c>
      <c r="M27" s="17" t="s">
        <v>425</v>
      </c>
      <c r="N27" s="7" t="s">
        <v>426</v>
      </c>
      <c r="O27" s="7" t="s">
        <v>427</v>
      </c>
      <c r="P27" s="7" t="s">
        <v>428</v>
      </c>
      <c r="Q27" s="7" t="s">
        <v>429</v>
      </c>
      <c r="R27" s="7" t="s">
        <v>37</v>
      </c>
      <c r="S27" s="7" t="s">
        <v>430</v>
      </c>
      <c r="T27" s="7" t="s">
        <v>431</v>
      </c>
      <c r="U27" s="7" t="s">
        <v>432</v>
      </c>
      <c r="V27" s="7" t="s">
        <v>433</v>
      </c>
      <c r="W27" s="7" t="s">
        <v>434</v>
      </c>
      <c r="X27" s="7" t="s">
        <v>435</v>
      </c>
      <c r="Y27" s="7" t="s">
        <v>436</v>
      </c>
      <c r="Z27" s="7"/>
      <c r="AA27" s="7"/>
    </row>
    <row r="28" spans="1:37" ht="225">
      <c r="A28" s="1">
        <v>1679</v>
      </c>
      <c r="B28" s="1" t="s">
        <v>784</v>
      </c>
      <c r="C28" s="23" t="s">
        <v>779</v>
      </c>
      <c r="D28" s="23" t="s">
        <v>437</v>
      </c>
      <c r="E28" s="1" t="s">
        <v>438</v>
      </c>
      <c r="F28" s="1" t="s">
        <v>439</v>
      </c>
      <c r="G28" s="1">
        <v>2023</v>
      </c>
      <c r="H28" s="8" t="s">
        <v>780</v>
      </c>
      <c r="I28" s="8" t="s">
        <v>781</v>
      </c>
      <c r="J28" s="1" t="s">
        <v>440</v>
      </c>
      <c r="K28" s="8" t="s">
        <v>783</v>
      </c>
      <c r="L28" s="1" t="s">
        <v>441</v>
      </c>
      <c r="M28" s="15" t="s">
        <v>442</v>
      </c>
      <c r="N28" s="1" t="s">
        <v>443</v>
      </c>
      <c r="O28" s="1" t="s">
        <v>444</v>
      </c>
      <c r="P28" s="1" t="s">
        <v>445</v>
      </c>
      <c r="Q28" s="1" t="s">
        <v>446</v>
      </c>
      <c r="R28" s="1" t="s">
        <v>37</v>
      </c>
      <c r="S28" s="1" t="s">
        <v>447</v>
      </c>
      <c r="T28" s="1" t="s">
        <v>448</v>
      </c>
      <c r="U28" s="1" t="s">
        <v>449</v>
      </c>
      <c r="V28" s="1" t="s">
        <v>450</v>
      </c>
      <c r="W28" s="1" t="s">
        <v>451</v>
      </c>
      <c r="X28" s="1" t="s">
        <v>62</v>
      </c>
      <c r="Y28" s="1" t="s">
        <v>452</v>
      </c>
      <c r="Z28" s="1"/>
      <c r="AA28" s="1"/>
    </row>
    <row r="29" spans="1:37" s="7" customFormat="1" ht="360">
      <c r="A29" s="7">
        <v>1700</v>
      </c>
      <c r="B29" s="1" t="s">
        <v>784</v>
      </c>
      <c r="C29" s="22" t="s">
        <v>779</v>
      </c>
      <c r="D29" s="22" t="s">
        <v>453</v>
      </c>
      <c r="E29" s="7" t="s">
        <v>454</v>
      </c>
      <c r="F29" s="14" t="s">
        <v>455</v>
      </c>
      <c r="G29" s="7">
        <v>2023</v>
      </c>
      <c r="H29" s="8" t="s">
        <v>780</v>
      </c>
      <c r="I29" s="8" t="s">
        <v>781</v>
      </c>
      <c r="J29" s="7" t="s">
        <v>816</v>
      </c>
      <c r="K29" s="8" t="s">
        <v>783</v>
      </c>
      <c r="L29" s="7" t="s">
        <v>457</v>
      </c>
      <c r="M29" s="16" t="s">
        <v>458</v>
      </c>
      <c r="N29" s="7" t="s">
        <v>459</v>
      </c>
      <c r="O29" s="7" t="s">
        <v>460</v>
      </c>
      <c r="P29" s="7">
        <v>1415</v>
      </c>
      <c r="Q29" s="7" t="s">
        <v>461</v>
      </c>
      <c r="R29" s="7" t="s">
        <v>37</v>
      </c>
      <c r="S29" s="7" t="s">
        <v>462</v>
      </c>
      <c r="T29" s="7" t="s">
        <v>463</v>
      </c>
      <c r="U29" s="7" t="s">
        <v>464</v>
      </c>
      <c r="V29" s="7" t="s">
        <v>465</v>
      </c>
      <c r="W29" s="7" t="s">
        <v>466</v>
      </c>
      <c r="X29" s="7" t="s">
        <v>467</v>
      </c>
      <c r="Y29" s="7" t="s">
        <v>468</v>
      </c>
      <c r="AB29"/>
      <c r="AC29"/>
    </row>
    <row r="30" spans="1:37" s="7" customFormat="1" ht="360">
      <c r="A30" s="8">
        <v>1707</v>
      </c>
      <c r="B30" s="11">
        <v>45650</v>
      </c>
      <c r="C30" s="21" t="s">
        <v>779</v>
      </c>
      <c r="D30" s="8" t="s">
        <v>469</v>
      </c>
      <c r="E30" s="8" t="s">
        <v>470</v>
      </c>
      <c r="F30" s="9" t="s">
        <v>471</v>
      </c>
      <c r="G30" s="8">
        <v>2022</v>
      </c>
      <c r="H30" s="1" t="s">
        <v>780</v>
      </c>
      <c r="I30" s="8"/>
      <c r="J30" s="8" t="s">
        <v>365</v>
      </c>
      <c r="K30" s="8"/>
      <c r="L30" s="8"/>
      <c r="M30" s="8" t="s">
        <v>472</v>
      </c>
      <c r="N30" s="8" t="s">
        <v>473</v>
      </c>
      <c r="O30" s="8" t="s">
        <v>474</v>
      </c>
      <c r="P30" s="8" t="s">
        <v>475</v>
      </c>
      <c r="Q30" s="8" t="s">
        <v>476</v>
      </c>
      <c r="R30" s="8" t="s">
        <v>477</v>
      </c>
      <c r="S30" s="36" t="s">
        <v>478</v>
      </c>
      <c r="T30" s="36" t="s">
        <v>479</v>
      </c>
      <c r="U30" s="36" t="s">
        <v>480</v>
      </c>
      <c r="V30" s="8" t="s">
        <v>481</v>
      </c>
      <c r="W30" s="8" t="s">
        <v>482</v>
      </c>
      <c r="X30" s="8"/>
      <c r="Y30" s="8"/>
      <c r="Z30" s="8"/>
      <c r="AA30" s="8"/>
      <c r="AB30" s="10"/>
      <c r="AC30" s="10"/>
      <c r="AD30"/>
      <c r="AE30"/>
      <c r="AF30"/>
      <c r="AG30"/>
      <c r="AH30"/>
      <c r="AI30"/>
      <c r="AJ30"/>
      <c r="AK30"/>
    </row>
    <row r="31" spans="1:37" ht="120">
      <c r="A31" s="7">
        <v>1765</v>
      </c>
      <c r="B31" s="7" t="s">
        <v>787</v>
      </c>
      <c r="C31" s="22" t="s">
        <v>779</v>
      </c>
      <c r="D31" s="22" t="s">
        <v>483</v>
      </c>
      <c r="E31" s="7" t="s">
        <v>484</v>
      </c>
      <c r="F31" s="7" t="s">
        <v>485</v>
      </c>
      <c r="G31" s="7">
        <v>2023</v>
      </c>
      <c r="H31" s="7" t="s">
        <v>780</v>
      </c>
      <c r="I31" s="8" t="s">
        <v>781</v>
      </c>
      <c r="J31" s="7" t="s">
        <v>486</v>
      </c>
      <c r="K31" s="8" t="s">
        <v>783</v>
      </c>
      <c r="L31" s="7" t="s">
        <v>487</v>
      </c>
      <c r="M31" s="16" t="s">
        <v>488</v>
      </c>
      <c r="N31" s="7" t="s">
        <v>489</v>
      </c>
      <c r="O31" s="7" t="s">
        <v>490</v>
      </c>
      <c r="P31" s="7" t="s">
        <v>491</v>
      </c>
      <c r="Q31" s="7" t="s">
        <v>492</v>
      </c>
      <c r="R31" s="7" t="s">
        <v>75</v>
      </c>
      <c r="S31" s="7" t="s">
        <v>493</v>
      </c>
      <c r="T31" s="7" t="s">
        <v>494</v>
      </c>
      <c r="U31" s="7" t="s">
        <v>495</v>
      </c>
      <c r="V31" s="7" t="s">
        <v>496</v>
      </c>
      <c r="W31" s="7" t="s">
        <v>497</v>
      </c>
      <c r="X31" s="7" t="s">
        <v>498</v>
      </c>
      <c r="Y31" s="7" t="s">
        <v>499</v>
      </c>
      <c r="Z31" s="7"/>
      <c r="AA31" s="7"/>
      <c r="AB31" s="7"/>
      <c r="AC31" s="7"/>
    </row>
    <row r="32" spans="1:37" ht="285">
      <c r="A32" s="1">
        <v>1771</v>
      </c>
      <c r="B32" s="1" t="s">
        <v>787</v>
      </c>
      <c r="C32" s="23" t="s">
        <v>811</v>
      </c>
      <c r="D32" s="22" t="s">
        <v>500</v>
      </c>
      <c r="E32" s="7" t="s">
        <v>501</v>
      </c>
      <c r="F32" s="7" t="s">
        <v>502</v>
      </c>
      <c r="G32" s="7">
        <v>2022</v>
      </c>
      <c r="H32" s="7" t="s">
        <v>780</v>
      </c>
      <c r="I32" s="7" t="s">
        <v>791</v>
      </c>
      <c r="J32" s="7" t="s">
        <v>503</v>
      </c>
      <c r="K32" s="7" t="s">
        <v>817</v>
      </c>
      <c r="L32" s="7" t="s">
        <v>506</v>
      </c>
      <c r="M32" s="7" t="s">
        <v>507</v>
      </c>
      <c r="N32" s="7" t="s">
        <v>508</v>
      </c>
      <c r="O32" s="7" t="s">
        <v>509</v>
      </c>
      <c r="P32" s="7">
        <v>174</v>
      </c>
      <c r="Q32" s="7"/>
      <c r="R32" s="7" t="s">
        <v>510</v>
      </c>
      <c r="S32" s="7" t="s">
        <v>511</v>
      </c>
      <c r="T32" s="8" t="s">
        <v>512</v>
      </c>
      <c r="U32" s="8" t="s">
        <v>513</v>
      </c>
      <c r="V32" s="8" t="s">
        <v>514</v>
      </c>
      <c r="W32" s="8" t="s">
        <v>515</v>
      </c>
      <c r="X32" s="8" t="s">
        <v>516</v>
      </c>
      <c r="Y32" s="8" t="s">
        <v>286</v>
      </c>
      <c r="Z32" s="7"/>
      <c r="AA32" s="7"/>
    </row>
    <row r="33" spans="1:37" ht="135">
      <c r="A33" s="1">
        <v>1782</v>
      </c>
      <c r="B33" s="4">
        <v>45645</v>
      </c>
      <c r="C33" s="23" t="s">
        <v>779</v>
      </c>
      <c r="D33" s="21" t="s">
        <v>517</v>
      </c>
      <c r="E33" s="7" t="s">
        <v>518</v>
      </c>
      <c r="H33" s="1" t="s">
        <v>780</v>
      </c>
    </row>
    <row r="34" spans="1:37" ht="195">
      <c r="A34" s="1">
        <v>1796</v>
      </c>
      <c r="B34" s="1" t="s">
        <v>784</v>
      </c>
      <c r="C34" s="22" t="s">
        <v>779</v>
      </c>
      <c r="D34" s="22" t="s">
        <v>532</v>
      </c>
      <c r="E34" s="7" t="s">
        <v>533</v>
      </c>
      <c r="F34" s="7" t="s">
        <v>534</v>
      </c>
      <c r="G34" s="7">
        <v>2023</v>
      </c>
      <c r="H34" s="7" t="s">
        <v>780</v>
      </c>
      <c r="I34" s="8" t="s">
        <v>786</v>
      </c>
      <c r="J34" s="7" t="s">
        <v>67</v>
      </c>
      <c r="K34" s="8" t="s">
        <v>783</v>
      </c>
      <c r="L34" s="1" t="s">
        <v>535</v>
      </c>
      <c r="M34" s="15" t="s">
        <v>536</v>
      </c>
      <c r="N34" s="7" t="s">
        <v>286</v>
      </c>
      <c r="O34" s="7" t="s">
        <v>537</v>
      </c>
      <c r="P34" s="7"/>
      <c r="Q34" s="7">
        <v>278</v>
      </c>
      <c r="R34" s="7" t="s">
        <v>538</v>
      </c>
      <c r="S34" s="7" t="s">
        <v>37</v>
      </c>
      <c r="T34" s="7" t="s">
        <v>493</v>
      </c>
      <c r="U34" s="7" t="s">
        <v>539</v>
      </c>
      <c r="V34" s="7" t="s">
        <v>540</v>
      </c>
      <c r="W34" s="7" t="s">
        <v>541</v>
      </c>
      <c r="X34" s="7" t="s">
        <v>542</v>
      </c>
      <c r="Y34" s="7" t="s">
        <v>543</v>
      </c>
      <c r="Z34" s="7"/>
      <c r="AA34" s="7"/>
    </row>
    <row r="35" spans="1:37" s="7" customFormat="1" ht="120">
      <c r="A35" s="29">
        <v>1890</v>
      </c>
      <c r="B35" s="30">
        <v>45645</v>
      </c>
      <c r="C35" s="31" t="s">
        <v>818</v>
      </c>
      <c r="D35" s="32" t="s">
        <v>544</v>
      </c>
      <c r="E35" s="33" t="s">
        <v>545</v>
      </c>
      <c r="F35" s="34"/>
      <c r="G35" s="34"/>
      <c r="H35" s="34"/>
      <c r="I35" s="34"/>
      <c r="J35" s="33" t="s">
        <v>548</v>
      </c>
      <c r="K35" s="34"/>
      <c r="L35" s="34"/>
      <c r="M35" s="34"/>
      <c r="N35" s="34"/>
      <c r="O35" s="34"/>
      <c r="P35" s="34"/>
      <c r="Q35" s="34"/>
      <c r="R35" s="34"/>
      <c r="S35" s="34"/>
      <c r="T35" s="34"/>
      <c r="U35" s="34"/>
      <c r="V35" s="34"/>
      <c r="W35" s="34"/>
      <c r="X35" s="34"/>
      <c r="Y35" s="34"/>
      <c r="Z35" s="34"/>
      <c r="AA35" s="34"/>
    </row>
    <row r="36" spans="1:37" ht="270">
      <c r="A36" s="1">
        <v>1916</v>
      </c>
      <c r="B36" s="1" t="s">
        <v>784</v>
      </c>
      <c r="C36" s="22" t="s">
        <v>779</v>
      </c>
      <c r="D36" s="22" t="s">
        <v>562</v>
      </c>
      <c r="E36" s="7" t="s">
        <v>563</v>
      </c>
      <c r="F36" s="7" t="s">
        <v>564</v>
      </c>
      <c r="G36" s="7">
        <v>2021</v>
      </c>
      <c r="H36" s="7" t="s">
        <v>780</v>
      </c>
      <c r="I36" s="8" t="s">
        <v>781</v>
      </c>
      <c r="J36" s="7" t="s">
        <v>565</v>
      </c>
      <c r="K36" s="8" t="s">
        <v>783</v>
      </c>
      <c r="L36" s="7" t="s">
        <v>566</v>
      </c>
      <c r="M36" s="7" t="s">
        <v>567</v>
      </c>
      <c r="N36" s="7" t="s">
        <v>568</v>
      </c>
      <c r="O36" s="7" t="s">
        <v>569</v>
      </c>
      <c r="P36" s="7" t="s">
        <v>570</v>
      </c>
      <c r="Q36" s="7" t="s">
        <v>571</v>
      </c>
      <c r="R36" s="7" t="s">
        <v>572</v>
      </c>
      <c r="S36" s="7" t="s">
        <v>327</v>
      </c>
      <c r="T36" s="8" t="s">
        <v>573</v>
      </c>
      <c r="U36" s="7" t="s">
        <v>574</v>
      </c>
      <c r="V36" s="7" t="s">
        <v>575</v>
      </c>
      <c r="W36" s="7" t="s">
        <v>576</v>
      </c>
      <c r="X36" s="7" t="s">
        <v>577</v>
      </c>
      <c r="Y36" s="7" t="s">
        <v>578</v>
      </c>
      <c r="Z36" s="7"/>
      <c r="AA36" s="7"/>
    </row>
    <row r="37" spans="1:37" ht="409.5">
      <c r="A37" s="1">
        <v>1942</v>
      </c>
      <c r="B37" s="1" t="s">
        <v>787</v>
      </c>
      <c r="C37" s="21" t="s">
        <v>789</v>
      </c>
      <c r="D37" s="22" t="s">
        <v>579</v>
      </c>
      <c r="E37" s="7" t="s">
        <v>580</v>
      </c>
      <c r="F37" s="7" t="s">
        <v>581</v>
      </c>
      <c r="G37" s="7">
        <v>2015</v>
      </c>
      <c r="H37" s="7" t="s">
        <v>780</v>
      </c>
      <c r="I37" s="8" t="s">
        <v>786</v>
      </c>
      <c r="J37" s="7" t="s">
        <v>548</v>
      </c>
      <c r="K37" s="8" t="s">
        <v>783</v>
      </c>
      <c r="L37" s="12" t="s">
        <v>582</v>
      </c>
      <c r="M37" s="12" t="s">
        <v>583</v>
      </c>
      <c r="N37" s="8" t="s">
        <v>584</v>
      </c>
      <c r="O37" s="8" t="s">
        <v>585</v>
      </c>
      <c r="P37" s="7">
        <v>463</v>
      </c>
      <c r="Q37" s="7" t="s">
        <v>280</v>
      </c>
      <c r="R37" s="7" t="s">
        <v>586</v>
      </c>
      <c r="S37" s="7" t="s">
        <v>587</v>
      </c>
      <c r="T37" s="7" t="s">
        <v>58</v>
      </c>
      <c r="U37" s="7" t="s">
        <v>588</v>
      </c>
      <c r="V37" s="7" t="s">
        <v>589</v>
      </c>
      <c r="W37" s="7" t="s">
        <v>590</v>
      </c>
      <c r="X37" s="7" t="s">
        <v>591</v>
      </c>
      <c r="Y37" s="7" t="s">
        <v>592</v>
      </c>
      <c r="Z37" s="7"/>
      <c r="AA37" s="7"/>
    </row>
    <row r="38" spans="1:37" s="1" customFormat="1" ht="120">
      <c r="A38" s="1">
        <v>1954</v>
      </c>
      <c r="B38" s="1" t="s">
        <v>784</v>
      </c>
      <c r="C38" s="23" t="s">
        <v>779</v>
      </c>
      <c r="D38" s="23" t="s">
        <v>593</v>
      </c>
      <c r="E38" s="1" t="s">
        <v>594</v>
      </c>
      <c r="F38" s="5" t="s">
        <v>595</v>
      </c>
      <c r="G38" s="1">
        <v>2020</v>
      </c>
      <c r="H38" s="1" t="s">
        <v>785</v>
      </c>
      <c r="I38" s="7" t="s">
        <v>791</v>
      </c>
      <c r="J38" s="1" t="s">
        <v>819</v>
      </c>
      <c r="K38" s="7" t="s">
        <v>817</v>
      </c>
      <c r="L38" s="1" t="s">
        <v>597</v>
      </c>
      <c r="M38" s="1" t="s">
        <v>411</v>
      </c>
      <c r="P38" s="1" t="s">
        <v>598</v>
      </c>
      <c r="Q38" s="1" t="s">
        <v>599</v>
      </c>
      <c r="R38" s="1" t="s">
        <v>37</v>
      </c>
      <c r="S38" s="1" t="s">
        <v>600</v>
      </c>
      <c r="T38" s="1" t="s">
        <v>601</v>
      </c>
      <c r="U38" s="1" t="s">
        <v>602</v>
      </c>
      <c r="V38" s="1" t="s">
        <v>603</v>
      </c>
      <c r="W38" s="1" t="s">
        <v>604</v>
      </c>
      <c r="X38" s="1" t="s">
        <v>605</v>
      </c>
      <c r="Y38" s="1" t="s">
        <v>286</v>
      </c>
      <c r="AB38" s="7"/>
      <c r="AC38" s="7"/>
      <c r="AD38"/>
      <c r="AE38"/>
      <c r="AF38"/>
      <c r="AG38"/>
      <c r="AH38"/>
      <c r="AI38"/>
      <c r="AJ38"/>
      <c r="AK38"/>
    </row>
    <row r="39" spans="1:37" s="8" customFormat="1" ht="180">
      <c r="A39" s="29">
        <v>1958</v>
      </c>
      <c r="B39" s="29" t="s">
        <v>784</v>
      </c>
      <c r="C39" s="29" t="s">
        <v>820</v>
      </c>
      <c r="D39" s="29" t="s">
        <v>606</v>
      </c>
      <c r="E39" s="29" t="s">
        <v>607</v>
      </c>
      <c r="F39" s="35" t="s">
        <v>608</v>
      </c>
      <c r="G39" s="29">
        <v>2022</v>
      </c>
      <c r="H39" s="29" t="s">
        <v>821</v>
      </c>
      <c r="I39" s="29"/>
      <c r="J39" s="29" t="s">
        <v>609</v>
      </c>
      <c r="K39" s="29" t="s">
        <v>822</v>
      </c>
      <c r="L39" s="29" t="s">
        <v>610</v>
      </c>
      <c r="M39" s="29" t="s">
        <v>611</v>
      </c>
      <c r="N39" s="29"/>
      <c r="O39" s="29"/>
      <c r="P39" s="29"/>
      <c r="Q39" s="29" t="s">
        <v>326</v>
      </c>
      <c r="R39" s="29" t="s">
        <v>37</v>
      </c>
      <c r="S39" s="29"/>
      <c r="T39" s="29"/>
      <c r="U39" s="29"/>
      <c r="V39" s="29"/>
      <c r="W39" s="29"/>
      <c r="X39" s="29"/>
      <c r="Y39" s="29"/>
      <c r="Z39" s="29"/>
      <c r="AA39" s="29"/>
      <c r="AB39" s="7"/>
      <c r="AC39" s="7"/>
    </row>
    <row r="40" spans="1:37" ht="285">
      <c r="A40" s="1">
        <v>1964</v>
      </c>
      <c r="B40" s="1" t="s">
        <v>787</v>
      </c>
      <c r="C40" s="27" t="s">
        <v>779</v>
      </c>
      <c r="D40" s="37" t="s">
        <v>612</v>
      </c>
      <c r="E40" s="7" t="s">
        <v>613</v>
      </c>
      <c r="F40" s="7" t="s">
        <v>614</v>
      </c>
      <c r="G40" s="7">
        <v>2020</v>
      </c>
      <c r="H40" s="1" t="s">
        <v>780</v>
      </c>
      <c r="I40" s="7" t="s">
        <v>791</v>
      </c>
      <c r="J40" s="7" t="s">
        <v>615</v>
      </c>
      <c r="K40" s="7" t="s">
        <v>817</v>
      </c>
      <c r="L40" s="7" t="s">
        <v>617</v>
      </c>
      <c r="M40" s="7" t="s">
        <v>107</v>
      </c>
      <c r="N40" s="7" t="s">
        <v>618</v>
      </c>
      <c r="O40" s="7" t="s">
        <v>619</v>
      </c>
      <c r="P40" s="7" t="s">
        <v>620</v>
      </c>
      <c r="Q40" s="7" t="s">
        <v>621</v>
      </c>
      <c r="R40" s="7">
        <v>45</v>
      </c>
      <c r="S40" s="7" t="s">
        <v>622</v>
      </c>
      <c r="T40" s="7" t="s">
        <v>75</v>
      </c>
      <c r="U40" s="7" t="s">
        <v>623</v>
      </c>
      <c r="V40" s="7" t="s">
        <v>624</v>
      </c>
      <c r="W40" s="7" t="s">
        <v>625</v>
      </c>
      <c r="X40" s="7" t="s">
        <v>626</v>
      </c>
      <c r="Y40" s="7" t="s">
        <v>627</v>
      </c>
      <c r="Z40" s="7" t="s">
        <v>823</v>
      </c>
      <c r="AA40" s="7" t="s">
        <v>286</v>
      </c>
      <c r="AD40" s="1"/>
      <c r="AE40" s="1"/>
      <c r="AF40" s="1"/>
      <c r="AG40" s="1"/>
      <c r="AH40" s="1"/>
      <c r="AI40" s="1"/>
      <c r="AJ40" s="1"/>
      <c r="AK40" s="1"/>
    </row>
    <row r="41" spans="1:37" ht="150">
      <c r="A41" s="1">
        <v>2120</v>
      </c>
      <c r="B41" s="1" t="s">
        <v>824</v>
      </c>
      <c r="C41" s="28" t="s">
        <v>779</v>
      </c>
      <c r="D41" s="28" t="s">
        <v>628</v>
      </c>
      <c r="E41" s="1" t="s">
        <v>629</v>
      </c>
      <c r="F41" s="1" t="s">
        <v>630</v>
      </c>
      <c r="G41" s="1">
        <v>2017</v>
      </c>
      <c r="H41" s="1" t="s">
        <v>780</v>
      </c>
      <c r="I41" s="8" t="s">
        <v>781</v>
      </c>
      <c r="J41" s="1" t="s">
        <v>825</v>
      </c>
      <c r="K41" s="8" t="s">
        <v>783</v>
      </c>
      <c r="L41" s="1" t="s">
        <v>632</v>
      </c>
      <c r="M41" s="1" t="s">
        <v>368</v>
      </c>
      <c r="N41" s="1" t="s">
        <v>633</v>
      </c>
      <c r="O41" s="1" t="s">
        <v>634</v>
      </c>
      <c r="P41" s="1">
        <v>149</v>
      </c>
      <c r="Q41" s="1" t="s">
        <v>280</v>
      </c>
      <c r="R41" s="1" t="s">
        <v>37</v>
      </c>
      <c r="S41" s="1" t="s">
        <v>635</v>
      </c>
      <c r="T41" s="1" t="s">
        <v>58</v>
      </c>
      <c r="U41" s="1" t="s">
        <v>636</v>
      </c>
      <c r="V41" s="1" t="s">
        <v>637</v>
      </c>
      <c r="W41" s="1" t="s">
        <v>638</v>
      </c>
      <c r="X41" s="1" t="s">
        <v>639</v>
      </c>
      <c r="Y41" s="1" t="s">
        <v>286</v>
      </c>
      <c r="Z41" s="1"/>
      <c r="AA41" s="1"/>
      <c r="AB41" s="1"/>
      <c r="AC41" s="1"/>
      <c r="AD41" s="7"/>
      <c r="AE41" s="7"/>
      <c r="AF41" s="7"/>
      <c r="AG41" s="7"/>
      <c r="AH41" s="7"/>
      <c r="AI41" s="7"/>
      <c r="AJ41" s="7"/>
      <c r="AK41" s="7"/>
    </row>
    <row r="42" spans="1:37" s="29" customFormat="1">
      <c r="A42"/>
      <c r="B42" s="1"/>
      <c r="C42"/>
      <c r="D42"/>
      <c r="E42"/>
      <c r="F42"/>
      <c r="G42"/>
      <c r="H42"/>
      <c r="I42"/>
      <c r="J42"/>
      <c r="K42"/>
      <c r="L42"/>
      <c r="M42"/>
      <c r="N42"/>
      <c r="O42"/>
      <c r="P42"/>
      <c r="Q42"/>
      <c r="R42"/>
      <c r="S42"/>
      <c r="T42"/>
      <c r="U42"/>
      <c r="V42"/>
      <c r="W42"/>
      <c r="X42"/>
      <c r="Y42"/>
      <c r="Z42"/>
      <c r="AA42"/>
      <c r="AB42" s="7"/>
      <c r="AC42" s="7"/>
      <c r="AD42" s="34"/>
      <c r="AE42" s="34"/>
      <c r="AF42" s="34"/>
      <c r="AG42" s="34"/>
      <c r="AH42" s="34"/>
      <c r="AI42" s="34"/>
      <c r="AJ42" s="34"/>
      <c r="AK42" s="34"/>
    </row>
    <row r="43" spans="1:37" s="33" customFormat="1">
      <c r="A43"/>
      <c r="B43" s="1"/>
      <c r="C43"/>
      <c r="D43"/>
      <c r="E43"/>
      <c r="F43"/>
      <c r="G43"/>
      <c r="H43"/>
      <c r="I43"/>
      <c r="J43"/>
      <c r="K43"/>
      <c r="L43"/>
      <c r="M43"/>
      <c r="N43"/>
      <c r="O43"/>
      <c r="P43"/>
      <c r="Q43"/>
      <c r="R43"/>
      <c r="S43"/>
      <c r="T43"/>
      <c r="U43"/>
      <c r="V43"/>
      <c r="W43"/>
      <c r="X43"/>
      <c r="Y43"/>
      <c r="Z43"/>
      <c r="AA43"/>
      <c r="AB43" s="7"/>
      <c r="AC43" s="7"/>
      <c r="AD43" s="29"/>
      <c r="AE43" s="29"/>
      <c r="AF43" s="29"/>
      <c r="AG43" s="29"/>
      <c r="AH43" s="29"/>
      <c r="AI43" s="29"/>
      <c r="AJ43" s="29"/>
      <c r="AK43" s="29"/>
    </row>
    <row r="44" spans="1:37" s="6" customFormat="1">
      <c r="A44"/>
      <c r="B44" s="1"/>
      <c r="C44"/>
      <c r="D44"/>
      <c r="E44"/>
      <c r="F44"/>
      <c r="G44"/>
      <c r="H44"/>
      <c r="I44"/>
      <c r="J44"/>
      <c r="K44"/>
      <c r="L44"/>
      <c r="M44"/>
      <c r="N44"/>
      <c r="O44"/>
      <c r="P44"/>
      <c r="Q44"/>
      <c r="R44"/>
      <c r="S44"/>
      <c r="T44"/>
      <c r="U44"/>
      <c r="V44"/>
      <c r="W44"/>
      <c r="X44"/>
      <c r="Y44"/>
      <c r="Z44"/>
      <c r="AA44"/>
      <c r="AB44" s="7"/>
      <c r="AC44" s="7"/>
      <c r="AD44"/>
      <c r="AE44"/>
      <c r="AF44"/>
      <c r="AG44"/>
      <c r="AH44"/>
      <c r="AI44"/>
      <c r="AJ44"/>
      <c r="AK44"/>
    </row>
    <row r="45" spans="1:37">
      <c r="AB45" s="7"/>
      <c r="AC45" s="7"/>
    </row>
    <row r="47" spans="1:37">
      <c r="AB47" s="7"/>
      <c r="AC47" s="7"/>
    </row>
    <row r="48" spans="1:37" ht="159.75" customHeight="1">
      <c r="AB48" s="7"/>
      <c r="AC48" s="7"/>
      <c r="AD48" s="7"/>
      <c r="AE48" s="7"/>
      <c r="AF48" s="7"/>
      <c r="AG48" s="7"/>
      <c r="AH48" s="7"/>
      <c r="AI48" s="7"/>
      <c r="AJ48" s="7"/>
      <c r="AK48" s="7"/>
    </row>
    <row r="49" spans="1:37">
      <c r="AB49" s="7"/>
      <c r="AC49" s="7"/>
      <c r="AD49" s="1"/>
      <c r="AE49" s="1"/>
      <c r="AF49" s="1"/>
      <c r="AG49" s="1"/>
      <c r="AH49" s="1"/>
      <c r="AI49" s="1"/>
      <c r="AJ49" s="1"/>
      <c r="AK49" s="1"/>
    </row>
    <row r="51" spans="1:37">
      <c r="AB51" s="1"/>
      <c r="AC51" s="1"/>
      <c r="AD51" s="1"/>
      <c r="AE51" s="1"/>
      <c r="AF51" s="1"/>
      <c r="AG51" s="1"/>
      <c r="AH51" s="1"/>
      <c r="AI51" s="1"/>
      <c r="AJ51" s="1"/>
      <c r="AK51" s="1"/>
    </row>
    <row r="52" spans="1:37" ht="261.75" customHeight="1">
      <c r="AB52" s="7"/>
      <c r="AC52" s="7"/>
      <c r="AD52" s="7"/>
      <c r="AE52" s="7"/>
      <c r="AF52" s="7"/>
      <c r="AG52" s="7"/>
      <c r="AH52" s="7"/>
      <c r="AI52" s="7"/>
      <c r="AJ52" s="7"/>
      <c r="AK52" s="7"/>
    </row>
    <row r="53" spans="1:37" s="7" customFormat="1">
      <c r="A53"/>
      <c r="B53" s="1"/>
      <c r="C53"/>
      <c r="D53"/>
      <c r="E53"/>
      <c r="F53"/>
      <c r="G53"/>
      <c r="H53"/>
      <c r="I53"/>
      <c r="J53"/>
      <c r="K53"/>
      <c r="L53"/>
      <c r="M53"/>
      <c r="N53"/>
      <c r="O53"/>
      <c r="P53"/>
      <c r="Q53"/>
      <c r="R53"/>
      <c r="S53"/>
      <c r="T53"/>
      <c r="U53"/>
      <c r="V53"/>
      <c r="W53"/>
      <c r="X53"/>
      <c r="Y53"/>
      <c r="Z53"/>
      <c r="AA53"/>
      <c r="AB53" s="8"/>
      <c r="AC53" s="8"/>
    </row>
    <row r="54" spans="1:37" s="7" customFormat="1">
      <c r="A54"/>
      <c r="B54" s="1"/>
      <c r="C54"/>
      <c r="D54"/>
      <c r="E54"/>
      <c r="F54"/>
      <c r="G54"/>
      <c r="H54"/>
      <c r="I54"/>
      <c r="J54"/>
      <c r="K54"/>
      <c r="L54"/>
      <c r="M54"/>
      <c r="N54"/>
      <c r="O54"/>
      <c r="P54"/>
      <c r="Q54"/>
      <c r="R54"/>
      <c r="S54"/>
      <c r="T54"/>
      <c r="U54"/>
      <c r="V54"/>
      <c r="W54"/>
      <c r="X54"/>
      <c r="Y54"/>
      <c r="Z54"/>
      <c r="AA54"/>
    </row>
    <row r="55" spans="1:37" s="7" customFormat="1" ht="247.5" customHeight="1">
      <c r="A55"/>
      <c r="B55" s="1"/>
      <c r="C55"/>
      <c r="D55"/>
      <c r="E55"/>
      <c r="F55"/>
      <c r="G55"/>
      <c r="H55"/>
      <c r="I55"/>
      <c r="J55"/>
      <c r="K55"/>
      <c r="L55"/>
      <c r="M55"/>
      <c r="N55"/>
      <c r="O55"/>
      <c r="P55"/>
      <c r="Q55"/>
      <c r="R55"/>
      <c r="S55"/>
      <c r="T55"/>
      <c r="U55"/>
      <c r="V55"/>
      <c r="W55"/>
      <c r="X55"/>
      <c r="Y55"/>
      <c r="Z55"/>
      <c r="AA55"/>
    </row>
    <row r="56" spans="1:37" s="7" customFormat="1">
      <c r="A56"/>
      <c r="B56" s="1"/>
      <c r="C56"/>
      <c r="D56"/>
      <c r="E56"/>
      <c r="F56"/>
      <c r="G56"/>
      <c r="H56"/>
      <c r="I56"/>
      <c r="J56"/>
      <c r="K56"/>
      <c r="L56"/>
      <c r="M56"/>
      <c r="N56"/>
      <c r="O56"/>
      <c r="P56"/>
      <c r="Q56"/>
      <c r="R56"/>
      <c r="S56"/>
      <c r="T56"/>
      <c r="U56"/>
      <c r="V56"/>
      <c r="W56"/>
      <c r="X56"/>
      <c r="Y56"/>
      <c r="Z56"/>
      <c r="AA56"/>
      <c r="AB56"/>
      <c r="AC56"/>
    </row>
    <row r="57" spans="1:37" s="7" customFormat="1">
      <c r="A57"/>
      <c r="B57" s="1"/>
      <c r="C57"/>
      <c r="D57"/>
      <c r="E57"/>
      <c r="F57"/>
      <c r="G57"/>
      <c r="H57"/>
      <c r="I57"/>
      <c r="J57"/>
      <c r="K57"/>
      <c r="L57"/>
      <c r="M57"/>
      <c r="N57"/>
      <c r="O57"/>
      <c r="P57"/>
      <c r="Q57"/>
      <c r="R57"/>
      <c r="S57"/>
      <c r="T57"/>
      <c r="U57"/>
      <c r="V57"/>
      <c r="W57"/>
      <c r="X57"/>
      <c r="Y57"/>
      <c r="Z57"/>
      <c r="AA57"/>
      <c r="AD57" s="1"/>
      <c r="AE57" s="1"/>
      <c r="AF57" s="1"/>
      <c r="AG57" s="1"/>
      <c r="AH57" s="1"/>
      <c r="AI57" s="1"/>
      <c r="AJ57" s="1"/>
      <c r="AK57" s="1"/>
    </row>
    <row r="58" spans="1:37" s="7" customFormat="1">
      <c r="A58"/>
      <c r="B58" s="1"/>
      <c r="C58"/>
      <c r="D58"/>
      <c r="E58"/>
      <c r="F58"/>
      <c r="G58"/>
      <c r="H58"/>
      <c r="I58"/>
      <c r="J58"/>
      <c r="K58"/>
      <c r="L58"/>
      <c r="M58"/>
      <c r="N58"/>
      <c r="O58"/>
      <c r="P58"/>
      <c r="Q58"/>
      <c r="R58"/>
      <c r="S58"/>
      <c r="T58"/>
      <c r="U58"/>
      <c r="V58"/>
      <c r="W58"/>
      <c r="X58"/>
      <c r="Y58"/>
      <c r="Z58"/>
      <c r="AA58"/>
      <c r="AB58" s="34"/>
      <c r="AC58" s="34"/>
    </row>
    <row r="59" spans="1:37" s="7" customFormat="1">
      <c r="A59"/>
      <c r="B59" s="1"/>
      <c r="C59"/>
      <c r="D59"/>
      <c r="E59"/>
      <c r="F59"/>
      <c r="G59"/>
      <c r="H59"/>
      <c r="I59"/>
      <c r="J59"/>
      <c r="K59"/>
      <c r="L59"/>
      <c r="M59"/>
      <c r="N59"/>
      <c r="O59"/>
      <c r="P59"/>
      <c r="Q59"/>
      <c r="R59"/>
      <c r="S59"/>
      <c r="T59"/>
      <c r="U59"/>
      <c r="V59"/>
      <c r="W59"/>
      <c r="X59"/>
      <c r="Y59"/>
      <c r="Z59"/>
      <c r="AA59"/>
      <c r="AB59"/>
      <c r="AC59"/>
      <c r="AD59"/>
      <c r="AE59"/>
      <c r="AF59"/>
      <c r="AG59"/>
      <c r="AH59"/>
      <c r="AI59"/>
      <c r="AJ59"/>
      <c r="AK59"/>
    </row>
    <row r="60" spans="1:37" s="7" customFormat="1" ht="321" customHeight="1">
      <c r="A60"/>
      <c r="B60" s="1"/>
      <c r="C60"/>
      <c r="D60"/>
      <c r="E60"/>
      <c r="F60"/>
      <c r="G60"/>
      <c r="H60"/>
      <c r="I60"/>
      <c r="J60"/>
      <c r="K60"/>
      <c r="L60"/>
      <c r="M60"/>
      <c r="N60"/>
      <c r="O60"/>
      <c r="P60"/>
      <c r="Q60"/>
      <c r="R60"/>
      <c r="S60"/>
      <c r="T60"/>
      <c r="U60"/>
      <c r="V60"/>
      <c r="W60"/>
      <c r="X60"/>
      <c r="Y60"/>
      <c r="Z60"/>
      <c r="AA60"/>
      <c r="AD60" s="1"/>
      <c r="AE60" s="1"/>
      <c r="AF60" s="1"/>
      <c r="AG60" s="1"/>
      <c r="AH60" s="1"/>
      <c r="AI60" s="1"/>
      <c r="AJ60" s="1"/>
      <c r="AK60" s="1"/>
    </row>
    <row r="61" spans="1:37" s="7" customFormat="1" ht="352.5" customHeight="1">
      <c r="A61"/>
      <c r="B61" s="1"/>
      <c r="C61"/>
      <c r="D61"/>
      <c r="E61"/>
      <c r="F61"/>
      <c r="G61"/>
      <c r="H61"/>
      <c r="I61"/>
      <c r="J61"/>
      <c r="K61"/>
      <c r="L61"/>
      <c r="M61"/>
      <c r="N61"/>
      <c r="O61"/>
      <c r="P61"/>
      <c r="Q61"/>
      <c r="R61"/>
      <c r="S61"/>
      <c r="T61"/>
      <c r="U61"/>
      <c r="V61"/>
      <c r="W61"/>
      <c r="X61"/>
      <c r="Y61"/>
      <c r="Z61"/>
      <c r="AA61"/>
    </row>
    <row r="62" spans="1:37" s="7" customFormat="1">
      <c r="A62"/>
      <c r="B62" s="1"/>
      <c r="C62"/>
      <c r="D62"/>
      <c r="E62"/>
      <c r="F62"/>
      <c r="G62"/>
      <c r="H62"/>
      <c r="I62"/>
      <c r="J62"/>
      <c r="K62"/>
      <c r="L62"/>
      <c r="M62"/>
      <c r="N62"/>
      <c r="O62"/>
      <c r="P62"/>
      <c r="Q62"/>
      <c r="R62"/>
      <c r="S62"/>
      <c r="T62"/>
      <c r="U62"/>
      <c r="V62"/>
      <c r="W62"/>
      <c r="X62"/>
      <c r="Y62"/>
      <c r="Z62"/>
      <c r="AA62"/>
      <c r="AB62" s="1"/>
      <c r="AC62" s="1"/>
      <c r="AD62"/>
      <c r="AE62"/>
      <c r="AF62"/>
      <c r="AG62"/>
      <c r="AH62"/>
      <c r="AI62"/>
      <c r="AJ62"/>
      <c r="AK62"/>
    </row>
    <row r="63" spans="1:37" s="1" customFormat="1">
      <c r="A63"/>
      <c r="C63"/>
      <c r="D63"/>
      <c r="E63"/>
      <c r="F63"/>
      <c r="G63"/>
      <c r="H63"/>
      <c r="I63"/>
      <c r="J63"/>
      <c r="K63"/>
      <c r="L63"/>
      <c r="M63"/>
      <c r="N63"/>
      <c r="O63"/>
      <c r="P63"/>
      <c r="Q63"/>
      <c r="R63"/>
      <c r="S63"/>
      <c r="T63"/>
      <c r="U63"/>
      <c r="V63"/>
      <c r="W63"/>
      <c r="X63"/>
      <c r="Y63"/>
      <c r="Z63"/>
      <c r="AA63"/>
      <c r="AB63" s="29"/>
      <c r="AC63" s="29"/>
      <c r="AD63" s="6"/>
      <c r="AE63" s="6"/>
      <c r="AF63" s="6"/>
      <c r="AG63" s="6"/>
      <c r="AH63" s="6"/>
      <c r="AI63" s="6"/>
      <c r="AJ63" s="6"/>
      <c r="AK63" s="6"/>
    </row>
    <row r="65" spans="1:37" s="7" customFormat="1">
      <c r="A65" s="1"/>
      <c r="B65" s="1"/>
      <c r="C65"/>
      <c r="D65"/>
      <c r="E65"/>
      <c r="F65"/>
      <c r="G65"/>
      <c r="H65"/>
      <c r="I65"/>
      <c r="J65"/>
      <c r="K65"/>
      <c r="L65"/>
      <c r="M65"/>
      <c r="N65"/>
      <c r="O65"/>
      <c r="P65"/>
      <c r="Q65"/>
      <c r="R65"/>
      <c r="S65"/>
      <c r="T65" s="8"/>
      <c r="U65"/>
      <c r="V65"/>
      <c r="W65"/>
      <c r="X65"/>
      <c r="Y65"/>
      <c r="Z65"/>
      <c r="AA65"/>
    </row>
    <row r="68" spans="1:37" s="7" customFormat="1">
      <c r="A68"/>
      <c r="B68" s="1"/>
      <c r="C68"/>
      <c r="D68"/>
      <c r="E68"/>
      <c r="F68"/>
      <c r="G68"/>
      <c r="H68"/>
      <c r="I68"/>
      <c r="J68"/>
      <c r="K68"/>
      <c r="L68"/>
      <c r="M68"/>
      <c r="N68"/>
      <c r="O68"/>
      <c r="P68"/>
      <c r="Q68"/>
      <c r="R68"/>
      <c r="S68"/>
      <c r="T68"/>
      <c r="U68"/>
      <c r="V68"/>
      <c r="W68"/>
      <c r="X68"/>
      <c r="Y68"/>
      <c r="Z68"/>
      <c r="AA68"/>
      <c r="AB68" s="1"/>
      <c r="AC68" s="1"/>
      <c r="AD68"/>
      <c r="AE68"/>
      <c r="AF68"/>
      <c r="AG68"/>
      <c r="AH68"/>
      <c r="AI68"/>
      <c r="AJ68"/>
      <c r="AK68"/>
    </row>
    <row r="75" spans="1:37" ht="30">
      <c r="A75" s="1" t="s">
        <v>826</v>
      </c>
      <c r="B75" s="1" t="s">
        <v>827</v>
      </c>
    </row>
    <row r="79" spans="1:37">
      <c r="A79" t="s">
        <v>828</v>
      </c>
    </row>
  </sheetData>
  <sortState xmlns:xlrd2="http://schemas.microsoft.com/office/spreadsheetml/2017/richdata2" ref="A2:AA68">
    <sortCondition ref="A2:A68"/>
  </sortState>
  <hyperlinks>
    <hyperlink ref="F2" r:id="rId1" xr:uid="{EFB6FDCC-5ADD-4EFF-BCA6-787A531C5A61}"/>
    <hyperlink ref="E3" r:id="rId2" display="https://doi.org/10.1186/s13561-019-0254-6" xr:uid="{F17D2DCF-55E6-486F-A475-681473C25952}"/>
    <hyperlink ref="F3" r:id="rId3" xr:uid="{D660109D-4677-4A42-95E6-BF2513200D00}"/>
    <hyperlink ref="E4" r:id="rId4" display="https://doi.org/10.1186/s12961-023-01018-1" xr:uid="{E1CD5E45-7264-4D7F-B230-58FFD6EB1FF4}"/>
    <hyperlink ref="F4" r:id="rId5" xr:uid="{83436B55-7454-4328-8804-8CC4765600CC}"/>
    <hyperlink ref="F7" r:id="rId6" xr:uid="{EF73F34C-05D3-4A17-94FF-1F0CEDEF5E09}"/>
    <hyperlink ref="F8" r:id="rId7" xr:uid="{C4EA80FE-F156-430F-8BB8-E16E9EDCF101}"/>
    <hyperlink ref="E11" r:id="rId8" display="https://doi.org/10.1371/journal.pone.0206121" xr:uid="{2C6EF393-BBCC-4447-AA07-7F26A662C34C}"/>
    <hyperlink ref="F11" r:id="rId9" xr:uid="{7BF8CAC2-CA3A-4542-8FDF-305CD9DE9C71}"/>
    <hyperlink ref="F14" r:id="rId10" xr:uid="{18263416-428E-4DFF-AE08-A6CB51B8D503}"/>
    <hyperlink ref="F27" r:id="rId11" xr:uid="{B6FA7265-EC4C-459A-9AAD-F73771972B79}"/>
    <hyperlink ref="F17" r:id="rId12" xr:uid="{7BFDC25A-805F-415C-A219-76945758A471}"/>
    <hyperlink ref="F29" r:id="rId13" xr:uid="{F23BC056-FCA7-4727-A7CC-F7BBF9A27C6D}"/>
    <hyperlink ref="F39" r:id="rId14" xr:uid="{147B551B-8987-4A90-9188-93F65FC88EBE}"/>
    <hyperlink ref="F19" r:id="rId15" xr:uid="{42E1DD26-0300-4731-AC93-704E1A795BD6}"/>
    <hyperlink ref="F9" r:id="rId16" xr:uid="{F095FE9E-64B4-4933-94EC-6999623C8AFF}"/>
    <hyperlink ref="F38" r:id="rId17" xr:uid="{496B0F8C-8DEE-411F-950D-AD87C093856D}"/>
    <hyperlink ref="F30" r:id="rId18" xr:uid="{0DDB10CC-DFCE-4EBA-BFD8-DF3610742EE8}"/>
  </hyperlinks>
  <pageMargins left="0.7" right="0.7" top="0.75" bottom="0.75" header="0.3" footer="0.3"/>
  <pageSetup orientation="portrait" r:id="rId19"/>
  <legacyDrawing r:id="rId2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7F272-2D04-42D8-93E8-898C599CDDA1}">
  <sheetPr codeName="Sheet2">
    <tabColor theme="9" tint="-0.499984740745262"/>
  </sheetPr>
  <dimension ref="A1:AC9"/>
  <sheetViews>
    <sheetView workbookViewId="0">
      <pane xSplit="1" ySplit="1" topLeftCell="E2" activePane="bottomRight" state="frozen"/>
      <selection pane="bottomRight" activeCell="E2" sqref="E2"/>
      <selection pane="bottomLeft" activeCell="A2" sqref="A2"/>
      <selection pane="topRight" activeCell="B1" sqref="B1"/>
    </sheetView>
  </sheetViews>
  <sheetFormatPr defaultRowHeight="15"/>
  <cols>
    <col min="1" max="1" width="9.140625" style="6" hidden="1" customWidth="1"/>
    <col min="2" max="2" width="16.85546875" hidden="1" customWidth="1"/>
    <col min="3" max="3" width="22.7109375" hidden="1" customWidth="1"/>
    <col min="4" max="4" width="20.140625" hidden="1" customWidth="1"/>
    <col min="5" max="5" width="18.42578125" customWidth="1"/>
    <col min="6" max="6" width="11.7109375" customWidth="1"/>
    <col min="7" max="7" width="9.140625" customWidth="1"/>
    <col min="8" max="8" width="19.28515625" customWidth="1"/>
    <col min="9" max="9" width="19.42578125" customWidth="1"/>
    <col min="11" max="11" width="19" customWidth="1"/>
    <col min="12" max="12" width="14.42578125" customWidth="1"/>
    <col min="13" max="13" width="26" customWidth="1"/>
    <col min="14" max="14" width="16.28515625" customWidth="1"/>
    <col min="15" max="15" width="14.85546875" customWidth="1"/>
    <col min="16" max="16" width="12.5703125" customWidth="1"/>
    <col min="17" max="17" width="17.85546875" customWidth="1"/>
    <col min="18" max="18" width="15.85546875" customWidth="1"/>
    <col min="19" max="19" width="10.85546875" customWidth="1"/>
    <col min="20" max="20" width="12.7109375" customWidth="1"/>
    <col min="21" max="21" width="14.42578125" customWidth="1"/>
    <col min="22" max="22" width="31.5703125" customWidth="1"/>
    <col min="23" max="23" width="15.5703125" customWidth="1"/>
    <col min="24" max="24" width="16.28515625" customWidth="1"/>
    <col min="25" max="25" width="12.7109375" customWidth="1"/>
  </cols>
  <sheetData>
    <row r="1" spans="1:29" ht="195">
      <c r="A1" s="39" t="s">
        <v>775</v>
      </c>
      <c r="B1" s="39" t="s">
        <v>776</v>
      </c>
      <c r="C1" s="40" t="s">
        <v>777</v>
      </c>
      <c r="D1" s="40" t="s">
        <v>0</v>
      </c>
      <c r="E1" s="40" t="s">
        <v>1</v>
      </c>
      <c r="F1" s="40" t="s">
        <v>2</v>
      </c>
      <c r="G1" s="40" t="s">
        <v>3</v>
      </c>
      <c r="H1" s="40" t="s">
        <v>829</v>
      </c>
      <c r="I1" s="40" t="s">
        <v>830</v>
      </c>
      <c r="J1" s="40" t="s">
        <v>6</v>
      </c>
      <c r="K1" s="40" t="s">
        <v>831</v>
      </c>
      <c r="L1" s="40" t="s">
        <v>9</v>
      </c>
      <c r="M1" s="40" t="s">
        <v>10</v>
      </c>
      <c r="N1" s="40" t="s">
        <v>832</v>
      </c>
      <c r="O1" s="40" t="s">
        <v>833</v>
      </c>
      <c r="P1" s="40" t="s">
        <v>13</v>
      </c>
      <c r="Q1" s="40" t="s">
        <v>14</v>
      </c>
      <c r="R1" s="40" t="s">
        <v>15</v>
      </c>
      <c r="S1" s="40" t="s">
        <v>16</v>
      </c>
      <c r="T1" s="40" t="s">
        <v>17</v>
      </c>
      <c r="U1" s="40" t="s">
        <v>18</v>
      </c>
      <c r="V1" s="40" t="s">
        <v>19</v>
      </c>
      <c r="W1" s="40" t="s">
        <v>20</v>
      </c>
      <c r="X1" s="40" t="s">
        <v>21</v>
      </c>
      <c r="Y1" s="41" t="s">
        <v>22</v>
      </c>
      <c r="Z1" s="2"/>
      <c r="AA1" s="2"/>
      <c r="AB1" s="2"/>
      <c r="AC1" s="2"/>
    </row>
    <row r="2" spans="1:29" s="8" customFormat="1" ht="375">
      <c r="A2" s="1" t="s">
        <v>834</v>
      </c>
      <c r="B2" s="42">
        <v>45653</v>
      </c>
      <c r="C2" s="23" t="s">
        <v>779</v>
      </c>
      <c r="D2" s="1" t="s">
        <v>835</v>
      </c>
      <c r="E2" s="1" t="s">
        <v>641</v>
      </c>
      <c r="F2" s="1" t="s">
        <v>642</v>
      </c>
      <c r="G2" s="1">
        <v>2012</v>
      </c>
      <c r="H2" s="1" t="s">
        <v>836</v>
      </c>
      <c r="I2" s="1" t="s">
        <v>765</v>
      </c>
      <c r="J2" s="8" t="s">
        <v>182</v>
      </c>
      <c r="K2" s="8" t="s">
        <v>771</v>
      </c>
      <c r="L2" s="8" t="s">
        <v>643</v>
      </c>
      <c r="M2" s="8" t="s">
        <v>644</v>
      </c>
      <c r="N2" s="8" t="s">
        <v>645</v>
      </c>
      <c r="O2" s="8" t="s">
        <v>646</v>
      </c>
      <c r="P2" s="8">
        <v>91</v>
      </c>
      <c r="Q2" s="8" t="s">
        <v>647</v>
      </c>
      <c r="S2" s="8" t="s">
        <v>648</v>
      </c>
      <c r="T2" s="8" t="s">
        <v>649</v>
      </c>
      <c r="U2" s="8" t="s">
        <v>650</v>
      </c>
      <c r="V2" s="8" t="s">
        <v>651</v>
      </c>
      <c r="W2" s="8" t="s">
        <v>652</v>
      </c>
      <c r="X2" s="8" t="s">
        <v>653</v>
      </c>
      <c r="Y2" s="8" t="s">
        <v>654</v>
      </c>
    </row>
    <row r="3" spans="1:29" s="1" customFormat="1" ht="405">
      <c r="A3" s="1" t="s">
        <v>837</v>
      </c>
      <c r="B3" s="42">
        <v>45653</v>
      </c>
      <c r="C3" s="23" t="s">
        <v>779</v>
      </c>
      <c r="D3" s="1" t="s">
        <v>838</v>
      </c>
      <c r="E3" s="5" t="s">
        <v>656</v>
      </c>
      <c r="F3" s="1" t="s">
        <v>657</v>
      </c>
      <c r="G3" s="1">
        <v>2013</v>
      </c>
      <c r="H3" s="1" t="s">
        <v>836</v>
      </c>
      <c r="I3" s="1" t="s">
        <v>839</v>
      </c>
      <c r="J3" s="1" t="s">
        <v>840</v>
      </c>
      <c r="K3" s="1" t="s">
        <v>771</v>
      </c>
      <c r="L3" s="1" t="s">
        <v>658</v>
      </c>
      <c r="M3" s="1" t="s">
        <v>659</v>
      </c>
      <c r="N3" s="1" t="s">
        <v>660</v>
      </c>
      <c r="O3" s="1" t="s">
        <v>661</v>
      </c>
      <c r="P3" s="1">
        <v>138</v>
      </c>
      <c r="Q3" s="1" t="s">
        <v>662</v>
      </c>
      <c r="R3" s="1" t="s">
        <v>663</v>
      </c>
      <c r="S3" s="2" t="s">
        <v>664</v>
      </c>
      <c r="T3" s="2" t="s">
        <v>665</v>
      </c>
      <c r="U3" s="1" t="s">
        <v>666</v>
      </c>
      <c r="V3" s="1" t="s">
        <v>667</v>
      </c>
      <c r="W3" s="1" t="s">
        <v>668</v>
      </c>
      <c r="X3" s="1" t="s">
        <v>669</v>
      </c>
      <c r="Y3" s="1" t="s">
        <v>670</v>
      </c>
    </row>
    <row r="4" spans="1:29" s="1" customFormat="1" ht="315">
      <c r="A4" s="1" t="s">
        <v>841</v>
      </c>
      <c r="B4" s="4">
        <v>45653</v>
      </c>
      <c r="C4" s="23" t="s">
        <v>779</v>
      </c>
      <c r="D4" s="1" t="s">
        <v>842</v>
      </c>
      <c r="E4" s="1" t="s">
        <v>672</v>
      </c>
      <c r="F4" s="5"/>
      <c r="G4" s="1">
        <v>2010</v>
      </c>
      <c r="H4" s="1" t="s">
        <v>843</v>
      </c>
      <c r="I4" s="1" t="s">
        <v>844</v>
      </c>
      <c r="J4" s="1" t="s">
        <v>365</v>
      </c>
      <c r="K4" s="1" t="s">
        <v>783</v>
      </c>
      <c r="L4" s="1" t="s">
        <v>673</v>
      </c>
      <c r="M4" s="1" t="s">
        <v>674</v>
      </c>
      <c r="N4" s="1" t="s">
        <v>675</v>
      </c>
      <c r="O4" s="1" t="s">
        <v>676</v>
      </c>
      <c r="P4" s="1">
        <v>221</v>
      </c>
      <c r="Q4" s="6" t="s">
        <v>662</v>
      </c>
      <c r="R4" s="1" t="s">
        <v>37</v>
      </c>
      <c r="S4" s="1" t="s">
        <v>677</v>
      </c>
      <c r="T4" s="1" t="s">
        <v>58</v>
      </c>
      <c r="U4" s="1" t="s">
        <v>678</v>
      </c>
      <c r="V4" s="1" t="s">
        <v>679</v>
      </c>
      <c r="W4" s="1" t="s">
        <v>680</v>
      </c>
      <c r="X4" s="1" t="s">
        <v>681</v>
      </c>
    </row>
    <row r="5" spans="1:29" s="1" customFormat="1" ht="195">
      <c r="A5" s="1" t="s">
        <v>845</v>
      </c>
      <c r="B5" s="4">
        <v>45653</v>
      </c>
      <c r="C5" s="23" t="s">
        <v>779</v>
      </c>
      <c r="D5" s="1" t="s">
        <v>846</v>
      </c>
      <c r="E5" s="1" t="s">
        <v>683</v>
      </c>
      <c r="F5" s="1" t="s">
        <v>684</v>
      </c>
      <c r="G5" s="1">
        <v>2015</v>
      </c>
      <c r="H5" s="1" t="s">
        <v>843</v>
      </c>
      <c r="I5" s="1" t="s">
        <v>847</v>
      </c>
      <c r="J5" s="1" t="s">
        <v>685</v>
      </c>
      <c r="K5" s="1" t="s">
        <v>783</v>
      </c>
      <c r="L5" s="1" t="s">
        <v>686</v>
      </c>
      <c r="M5" s="1" t="s">
        <v>687</v>
      </c>
      <c r="N5" s="1" t="s">
        <v>688</v>
      </c>
      <c r="O5" s="1" t="s">
        <v>689</v>
      </c>
      <c r="P5" s="1">
        <v>213</v>
      </c>
      <c r="Q5" s="6" t="s">
        <v>662</v>
      </c>
      <c r="R5" s="1" t="s">
        <v>327</v>
      </c>
      <c r="S5" s="1" t="s">
        <v>690</v>
      </c>
      <c r="T5" s="1" t="s">
        <v>691</v>
      </c>
      <c r="U5" s="1" t="s">
        <v>692</v>
      </c>
      <c r="V5" s="1" t="s">
        <v>693</v>
      </c>
      <c r="W5" s="1" t="s">
        <v>694</v>
      </c>
      <c r="X5" s="1" t="s">
        <v>695</v>
      </c>
      <c r="Y5" s="1" t="s">
        <v>696</v>
      </c>
    </row>
    <row r="6" spans="1:29" s="7" customFormat="1" ht="409.5">
      <c r="A6" s="1" t="s">
        <v>848</v>
      </c>
      <c r="B6" s="4">
        <v>45653</v>
      </c>
      <c r="C6" s="23" t="s">
        <v>779</v>
      </c>
      <c r="D6" s="7" t="s">
        <v>849</v>
      </c>
      <c r="E6" s="7" t="s">
        <v>698</v>
      </c>
      <c r="F6" s="14" t="s">
        <v>699</v>
      </c>
      <c r="G6" s="7">
        <v>2008</v>
      </c>
      <c r="H6" s="7" t="s">
        <v>843</v>
      </c>
      <c r="I6" s="7" t="s">
        <v>839</v>
      </c>
      <c r="J6" s="7" t="s">
        <v>365</v>
      </c>
      <c r="K6" s="7" t="s">
        <v>783</v>
      </c>
      <c r="L6" s="7" t="s">
        <v>700</v>
      </c>
      <c r="M6" s="1" t="s">
        <v>701</v>
      </c>
      <c r="N6" s="7" t="s">
        <v>702</v>
      </c>
      <c r="O6" s="7" t="s">
        <v>703</v>
      </c>
      <c r="P6" s="7">
        <v>103</v>
      </c>
      <c r="Q6" s="7" t="s">
        <v>704</v>
      </c>
      <c r="R6" s="7" t="s">
        <v>327</v>
      </c>
      <c r="S6" s="7" t="s">
        <v>705</v>
      </c>
      <c r="T6" s="7" t="s">
        <v>706</v>
      </c>
      <c r="U6" s="1" t="s">
        <v>707</v>
      </c>
      <c r="V6" s="1" t="s">
        <v>708</v>
      </c>
      <c r="W6" s="1" t="s">
        <v>709</v>
      </c>
      <c r="X6" s="1" t="s">
        <v>710</v>
      </c>
      <c r="Y6" s="1"/>
    </row>
    <row r="7" spans="1:29" s="7" customFormat="1" ht="330">
      <c r="A7" s="1" t="s">
        <v>850</v>
      </c>
      <c r="B7" s="4">
        <v>45653</v>
      </c>
      <c r="C7" s="23" t="s">
        <v>779</v>
      </c>
      <c r="D7" s="7" t="s">
        <v>711</v>
      </c>
      <c r="E7" s="7" t="s">
        <v>712</v>
      </c>
      <c r="F7" s="7" t="s">
        <v>713</v>
      </c>
      <c r="G7" s="7">
        <v>2013</v>
      </c>
      <c r="H7" s="7" t="s">
        <v>843</v>
      </c>
      <c r="I7" s="7" t="s">
        <v>851</v>
      </c>
      <c r="J7" s="7" t="s">
        <v>365</v>
      </c>
      <c r="K7" s="7" t="s">
        <v>783</v>
      </c>
      <c r="L7" s="7" t="s">
        <v>714</v>
      </c>
      <c r="M7" s="7" t="s">
        <v>715</v>
      </c>
      <c r="N7" s="7" t="s">
        <v>716</v>
      </c>
      <c r="O7" s="7" t="s">
        <v>717</v>
      </c>
      <c r="P7" s="7">
        <v>260</v>
      </c>
      <c r="Q7" s="7" t="s">
        <v>280</v>
      </c>
      <c r="R7" s="7" t="s">
        <v>718</v>
      </c>
      <c r="S7" s="7" t="s">
        <v>719</v>
      </c>
      <c r="T7" s="7" t="s">
        <v>720</v>
      </c>
      <c r="U7" s="7" t="s">
        <v>721</v>
      </c>
      <c r="V7" s="7" t="s">
        <v>722</v>
      </c>
      <c r="W7" s="7" t="s">
        <v>723</v>
      </c>
      <c r="X7" s="7" t="s">
        <v>724</v>
      </c>
      <c r="Y7" s="7" t="s">
        <v>725</v>
      </c>
    </row>
    <row r="8" spans="1:29" s="1" customFormat="1" ht="409.5">
      <c r="A8" s="1" t="s">
        <v>852</v>
      </c>
      <c r="B8" s="4">
        <v>45653</v>
      </c>
      <c r="C8" s="23" t="s">
        <v>779</v>
      </c>
      <c r="D8" s="1" t="s">
        <v>853</v>
      </c>
      <c r="E8" s="1" t="s">
        <v>727</v>
      </c>
      <c r="F8" s="1" t="s">
        <v>728</v>
      </c>
      <c r="G8" s="1">
        <v>2015</v>
      </c>
      <c r="H8" s="1" t="s">
        <v>843</v>
      </c>
      <c r="I8" s="1" t="s">
        <v>847</v>
      </c>
      <c r="J8" s="1" t="s">
        <v>122</v>
      </c>
      <c r="K8" s="1" t="s">
        <v>783</v>
      </c>
      <c r="L8" s="1" t="s">
        <v>729</v>
      </c>
      <c r="M8" s="1" t="s">
        <v>730</v>
      </c>
      <c r="N8" s="1" t="s">
        <v>731</v>
      </c>
      <c r="O8" s="1" t="s">
        <v>731</v>
      </c>
      <c r="P8" s="1">
        <v>102</v>
      </c>
      <c r="Q8" s="1" t="s">
        <v>732</v>
      </c>
      <c r="R8" s="1" t="s">
        <v>37</v>
      </c>
      <c r="S8" s="1" t="s">
        <v>733</v>
      </c>
      <c r="T8" s="1" t="s">
        <v>706</v>
      </c>
      <c r="U8" s="1" t="s">
        <v>734</v>
      </c>
      <c r="V8" s="1" t="s">
        <v>735</v>
      </c>
      <c r="W8" s="1" t="s">
        <v>736</v>
      </c>
      <c r="X8" s="1" t="s">
        <v>737</v>
      </c>
    </row>
    <row r="9" spans="1:29" s="1" customFormat="1" ht="225">
      <c r="A9" s="1" t="s">
        <v>854</v>
      </c>
      <c r="B9" s="4">
        <v>45653</v>
      </c>
      <c r="C9" s="23" t="s">
        <v>779</v>
      </c>
      <c r="D9" s="1" t="s">
        <v>855</v>
      </c>
      <c r="E9" s="1" t="s">
        <v>739</v>
      </c>
      <c r="F9" s="1" t="s">
        <v>740</v>
      </c>
      <c r="G9" s="1">
        <v>2016</v>
      </c>
      <c r="H9" s="1" t="s">
        <v>769</v>
      </c>
      <c r="I9" s="1" t="s">
        <v>856</v>
      </c>
      <c r="J9" s="1" t="s">
        <v>365</v>
      </c>
      <c r="K9" s="1" t="s">
        <v>771</v>
      </c>
      <c r="L9" s="1" t="s">
        <v>741</v>
      </c>
      <c r="M9" s="1" t="s">
        <v>742</v>
      </c>
      <c r="N9" s="1" t="s">
        <v>743</v>
      </c>
      <c r="O9" s="1" t="s">
        <v>744</v>
      </c>
      <c r="P9" s="1">
        <v>425</v>
      </c>
      <c r="Q9" s="1" t="s">
        <v>280</v>
      </c>
      <c r="R9" s="1" t="s">
        <v>354</v>
      </c>
      <c r="S9" s="1" t="s">
        <v>745</v>
      </c>
      <c r="T9" s="1" t="s">
        <v>58</v>
      </c>
      <c r="U9" s="1" t="s">
        <v>746</v>
      </c>
      <c r="V9" s="1" t="s">
        <v>747</v>
      </c>
      <c r="W9" s="1" t="s">
        <v>748</v>
      </c>
      <c r="X9" s="1" t="s">
        <v>749</v>
      </c>
      <c r="Y9" s="1" t="s">
        <v>750</v>
      </c>
    </row>
  </sheetData>
  <hyperlinks>
    <hyperlink ref="E3" r:id="rId1" display="https://doi.org/10.1016/j.healthpol.2013.01.017" xr:uid="{BE9CA649-BE32-41C9-85CB-A403773A6319}"/>
    <hyperlink ref="F6" r:id="rId2" xr:uid="{817899A5-4FC2-4588-93DE-7997ABCAE23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4BC74-2F82-4827-84F2-BBE8A79B2ADD}">
  <sheetPr codeName="Sheet4"/>
  <dimension ref="A1:BB18"/>
  <sheetViews>
    <sheetView topLeftCell="AK1" workbookViewId="0">
      <selection activeCell="AM3" sqref="AM3"/>
    </sheetView>
  </sheetViews>
  <sheetFormatPr defaultRowHeight="15"/>
  <cols>
    <col min="1" max="1" width="15.28515625" customWidth="1"/>
    <col min="2" max="2" width="18.42578125" customWidth="1"/>
    <col min="3" max="3" width="16.7109375" style="10" customWidth="1"/>
    <col min="4" max="4" width="13.28515625" customWidth="1"/>
    <col min="6" max="6" width="9.5703125" bestFit="1" customWidth="1"/>
    <col min="7" max="7" width="12.5703125" bestFit="1" customWidth="1"/>
    <col min="11" max="11" width="20.7109375" customWidth="1"/>
    <col min="12" max="12" width="12" customWidth="1"/>
    <col min="16" max="16" width="6.140625" customWidth="1"/>
    <col min="17" max="17" width="22.85546875" customWidth="1"/>
    <col min="18" max="18" width="13.7109375" customWidth="1"/>
    <col min="19" max="19" width="13.140625" customWidth="1"/>
    <col min="20" max="20" width="16.28515625" customWidth="1"/>
    <col min="21" max="22" width="13.28515625" customWidth="1"/>
    <col min="23" max="25" width="16.42578125" customWidth="1"/>
    <col min="26" max="26" width="22.42578125" customWidth="1"/>
    <col min="27" max="27" width="12.28515625" customWidth="1"/>
    <col min="28" max="28" width="11.42578125" customWidth="1"/>
    <col min="29" max="31" width="12" customWidth="1"/>
    <col min="32" max="32" width="10.5703125" customWidth="1"/>
    <col min="33" max="33" width="11.140625" customWidth="1"/>
    <col min="34" max="34" width="11.42578125" customWidth="1"/>
    <col min="37" max="38" width="15" customWidth="1"/>
    <col min="43" max="43" width="16.7109375" customWidth="1"/>
    <col min="44" max="44" width="13.28515625" customWidth="1"/>
    <col min="47" max="47" width="14.42578125" customWidth="1"/>
    <col min="48" max="48" width="14.140625" customWidth="1"/>
    <col min="50" max="50" width="13.42578125" customWidth="1"/>
  </cols>
  <sheetData>
    <row r="1" spans="1:54" ht="60">
      <c r="A1" s="49" t="s">
        <v>857</v>
      </c>
      <c r="B1" s="49" t="s">
        <v>858</v>
      </c>
      <c r="C1" s="49" t="s">
        <v>859</v>
      </c>
      <c r="D1" s="49" t="s">
        <v>860</v>
      </c>
      <c r="E1" s="49" t="s">
        <v>861</v>
      </c>
      <c r="F1" s="49" t="s">
        <v>862</v>
      </c>
      <c r="G1" s="49" t="s">
        <v>863</v>
      </c>
      <c r="H1" s="49" t="s">
        <v>864</v>
      </c>
      <c r="I1" s="49" t="s">
        <v>865</v>
      </c>
      <c r="J1" s="49" t="s">
        <v>866</v>
      </c>
      <c r="K1" s="49" t="s">
        <v>867</v>
      </c>
      <c r="L1" s="49" t="s">
        <v>868</v>
      </c>
      <c r="Q1" s="50" t="s">
        <v>869</v>
      </c>
      <c r="R1" s="49" t="s">
        <v>859</v>
      </c>
      <c r="S1" s="49" t="s">
        <v>860</v>
      </c>
      <c r="T1" s="49" t="s">
        <v>870</v>
      </c>
      <c r="U1" s="49" t="s">
        <v>871</v>
      </c>
      <c r="V1" s="49" t="s">
        <v>872</v>
      </c>
      <c r="W1" s="49" t="s">
        <v>867</v>
      </c>
      <c r="X1" s="49" t="s">
        <v>873</v>
      </c>
      <c r="Y1" s="49" t="s">
        <v>874</v>
      </c>
      <c r="AA1" s="50" t="s">
        <v>875</v>
      </c>
      <c r="AB1" s="49" t="s">
        <v>859</v>
      </c>
      <c r="AC1" s="49" t="s">
        <v>860</v>
      </c>
      <c r="AD1" s="49" t="s">
        <v>870</v>
      </c>
      <c r="AE1" s="49" t="s">
        <v>871</v>
      </c>
      <c r="AF1" s="49" t="s">
        <v>872</v>
      </c>
      <c r="AG1" s="49" t="s">
        <v>867</v>
      </c>
      <c r="AH1" s="49" t="s">
        <v>873</v>
      </c>
      <c r="AK1" s="50" t="s">
        <v>876</v>
      </c>
      <c r="AL1" s="49" t="s">
        <v>859</v>
      </c>
      <c r="AM1" s="49" t="s">
        <v>860</v>
      </c>
      <c r="AN1" s="49" t="s">
        <v>870</v>
      </c>
      <c r="AO1" s="49" t="s">
        <v>871</v>
      </c>
      <c r="AP1" s="49" t="s">
        <v>872</v>
      </c>
      <c r="AQ1" s="49" t="s">
        <v>867</v>
      </c>
      <c r="AR1" s="49" t="s">
        <v>873</v>
      </c>
      <c r="AS1" s="49" t="s">
        <v>874</v>
      </c>
      <c r="AU1" s="201" t="s">
        <v>875</v>
      </c>
      <c r="AV1" s="49" t="s">
        <v>859</v>
      </c>
      <c r="AW1" s="49" t="s">
        <v>860</v>
      </c>
      <c r="AX1" s="49" t="s">
        <v>870</v>
      </c>
      <c r="AY1" s="49" t="s">
        <v>871</v>
      </c>
      <c r="AZ1" s="49" t="s">
        <v>872</v>
      </c>
      <c r="BA1" s="49" t="s">
        <v>867</v>
      </c>
      <c r="BB1" s="49" t="s">
        <v>873</v>
      </c>
    </row>
    <row r="2" spans="1:54" ht="90">
      <c r="A2" s="96" t="s">
        <v>877</v>
      </c>
      <c r="B2" s="125" t="s">
        <v>878</v>
      </c>
      <c r="C2" s="96" t="s">
        <v>877</v>
      </c>
      <c r="D2" s="93" t="s">
        <v>879</v>
      </c>
      <c r="E2" s="95">
        <v>0.30640000000000001</v>
      </c>
      <c r="F2" s="95">
        <v>4.87E-2</v>
      </c>
      <c r="G2" s="95">
        <v>1.9302999999999999</v>
      </c>
      <c r="H2" s="95"/>
      <c r="I2" s="95"/>
      <c r="J2" s="96">
        <v>0.60189999999999999</v>
      </c>
      <c r="K2" s="96" t="s">
        <v>880</v>
      </c>
      <c r="L2" s="92" t="s">
        <v>881</v>
      </c>
      <c r="Q2" s="51" t="s">
        <v>882</v>
      </c>
      <c r="R2" s="44" t="s">
        <v>883</v>
      </c>
      <c r="S2" s="51" t="s">
        <v>879</v>
      </c>
      <c r="T2" s="51" t="str">
        <f>ROUND(U2, 2) &amp; "-" &amp; ROUND(V2, 2)</f>
        <v>1,56-2,94</v>
      </c>
      <c r="U2" s="199">
        <f>_xlfn.MINIFS(E:E, A:A, R2, D:D, S2)</f>
        <v>1.5589304856219153</v>
      </c>
      <c r="V2" s="199">
        <f>_xlfn.MAXIFS(E:E, A:A, R2, D:D, S2)</f>
        <v>2.9411764705882351</v>
      </c>
      <c r="W2" s="51" t="str" cm="1">
        <f t="array" ref="W2">_xlfn.TEXTJOIN(", ", TRUE, _xlfn.UNIQUE(_xlfn._xlws.FILTER(K$2:K$100, (A$2:A$100 = R2) * (D$2:D$100 = S2))))</f>
        <v>Australia</v>
      </c>
      <c r="X2" s="51" t="str" cm="1">
        <f t="array" ref="X2">_xlfn.TEXTJOIN(", ", TRUE, IF((A$2:A$100 = R2) * (D$2:D$100 = S2), L$2:L$100, ""))</f>
        <v>(Haque et al., 2023), (Chim et al., 2010)</v>
      </c>
      <c r="Y2" s="51" t="str">
        <f>IF(OR(S2="OR", S2="RRR"), "OR / RRR", S2)</f>
        <v>OR / RRR</v>
      </c>
      <c r="AB2" s="44" t="s">
        <v>883</v>
      </c>
      <c r="AC2" s="46" t="s">
        <v>884</v>
      </c>
      <c r="AD2" s="51" t="str">
        <f>IF(AE2=AF2, IF(AE2=0, "NO DATA", ROUND(AE2, 2)), ROUND(AE2, 2) &amp; "-" &amp; ROUND(AF2, 2))</f>
        <v>1,56-2,94</v>
      </c>
      <c r="AE2" s="200">
        <f>_xlfn.MINIFS(U:U, R:R, AB2, Y:Y, AC2)</f>
        <v>1.5589304856219153</v>
      </c>
      <c r="AF2" s="46">
        <f>_xlfn.MAXIFS(V:V, R:R, AB2, Y:Y, AC2)</f>
        <v>2.9411764705882351</v>
      </c>
      <c r="AG2" s="51" t="str" cm="1">
        <f t="array" ref="AG2">_xlfn.TEXTJOIN(", ", TRUE, _xlfn.UNIQUE(IF((R$2:R$100 = AB2) * (Y$2:Y$100 = AC2), W$2:W$100, "")))</f>
        <v>Australia</v>
      </c>
      <c r="AH2" s="51" t="str" cm="1">
        <f t="array" ref="AH2">_xlfn.TEXTJOIN(", ", TRUE, _xlfn.UNIQUE(IF((R$2:R$100 = AB2) * (Y$2:Y$100 = AC2), X$2:X$100, "")))</f>
        <v>(Haque et al., 2023), (Chim et al., 2010)</v>
      </c>
      <c r="AK2" s="51" t="s">
        <v>882</v>
      </c>
      <c r="AL2" s="44" t="s">
        <v>883</v>
      </c>
      <c r="AM2" s="51" t="s">
        <v>879</v>
      </c>
      <c r="AN2" s="51">
        <f>IF(AO2=AP2, IF(AO2=0, "NO DATA", ROUND(AO2, 2)), ROUND(AO2, 2) &amp; "-" &amp; ROUND(AP2, 2))</f>
        <v>2.94</v>
      </c>
      <c r="AO2" s="199">
        <f>_xlfn.MINIFS(E:E, A:A, AL2, D:D, AM2, J:J, "&lt;0,050")</f>
        <v>2.9411764705882351</v>
      </c>
      <c r="AP2" s="199">
        <f>_xlfn.MAXIFS(E:E, A:A, AL2, D:D, AM2, J:J, "&lt;0,050")</f>
        <v>2.9411764705882351</v>
      </c>
      <c r="AQ2" s="51" t="str" cm="1">
        <f t="array" ref="AQ2">IFERROR(_xlfn.TEXTJOIN(", ", TRUE, _xlfn.UNIQUE(_xlfn._xlws.FILTER(K$2:K$100, (A$2:A$100 = R2) * (D$2:D$100 = S2) * ((J$2:J$100 &lt;= 0.05))))),"")</f>
        <v>Australia</v>
      </c>
      <c r="AR2" s="51" t="str" cm="1">
        <f t="array" ref="AR2">_xlfn.TEXTJOIN(", ", TRUE, _xlfn.UNIQUE(IF((A$2:A$100 = R2) * (D$2:D$100 = S2) * ((J$2:J$100 &lt;= 0.05)), L$2:L$100, "")))</f>
        <v>(Chim et al., 2010)</v>
      </c>
      <c r="AS2" s="51" t="str">
        <f>IF(OR(AM2="OR", AM2="RRR"), "OR / RRR", AM2)</f>
        <v>OR / RRR</v>
      </c>
      <c r="AV2" s="44" t="s">
        <v>883</v>
      </c>
      <c r="AW2" s="46" t="s">
        <v>884</v>
      </c>
      <c r="AX2" s="194">
        <f>IF(AY2=AZ2, IF(AY2=0, "NO DATA", ROUND(AY2, 2)), ROUND(AY2, 2) &amp; "-" &amp; ROUND(AZ2, 2))</f>
        <v>2.94</v>
      </c>
      <c r="AY2" s="200">
        <f>_xlfn.MINIFS(AO:AO, AL:AL, AV2, AS:AS, AW2)</f>
        <v>2.9411764705882351</v>
      </c>
      <c r="AZ2" s="46">
        <f>_xlfn.MAXIFS(AP:AP, AL:AL, AV2, AS:AS, AW2)</f>
        <v>2.9411764705882351</v>
      </c>
      <c r="BA2" s="51" t="str" cm="1">
        <f t="array" ref="BA2">_xlfn.TEXTJOIN(", ", TRUE, _xlfn.UNIQUE(IF((AL$2:AL$100 = AV2) * (AS$2:AS$100 = AW2), AQ$2:AQ$100, "")))</f>
        <v>Australia</v>
      </c>
      <c r="BB2" s="51" t="str" cm="1">
        <f t="array" ref="BB2">_xlfn.TEXTJOIN(", ", TRUE, _xlfn.UNIQUE(IF((AL$2:AL$100 = AV2) * (AS$2:AS$100 = AW2), AR$2:AR$100, "")))</f>
        <v>(Chim et al., 2010)</v>
      </c>
    </row>
    <row r="3" spans="1:54" ht="150">
      <c r="A3" s="96" t="s">
        <v>877</v>
      </c>
      <c r="B3" s="149" t="s">
        <v>885</v>
      </c>
      <c r="C3" s="96" t="s">
        <v>877</v>
      </c>
      <c r="D3" s="93" t="s">
        <v>879</v>
      </c>
      <c r="E3" s="95">
        <v>0.91900000000000004</v>
      </c>
      <c r="F3" s="95"/>
      <c r="G3" s="95"/>
      <c r="H3" s="96">
        <v>0.57399999999999995</v>
      </c>
      <c r="I3" s="96"/>
      <c r="J3" s="96" t="s">
        <v>886</v>
      </c>
      <c r="K3" s="99" t="s">
        <v>887</v>
      </c>
      <c r="L3" s="96" t="s">
        <v>888</v>
      </c>
      <c r="R3" s="51" t="s">
        <v>877</v>
      </c>
      <c r="S3" s="51" t="s">
        <v>879</v>
      </c>
      <c r="T3" s="51" t="str">
        <f t="shared" ref="T3:T9" si="0">ROUND(U3, 2) &amp; "-" &amp; ROUND(V3, 2)</f>
        <v>0,31-1,7</v>
      </c>
      <c r="U3" s="51">
        <f t="shared" ref="U3:U9" si="1">_xlfn.MINIFS(E:E, A:A, R3, D:D, S3)</f>
        <v>0.30640000000000001</v>
      </c>
      <c r="V3" s="51">
        <f t="shared" ref="V3:V9" si="2">_xlfn.MAXIFS(E:E, A:A, R3, D:D, S3)</f>
        <v>1.7010000000000001</v>
      </c>
      <c r="W3" s="51" t="str" cm="1">
        <f t="array" ref="W3">_xlfn.TEXTJOIN(", ", TRUE, _xlfn.UNIQUE(_xlfn._xlws.FILTER(K$2:K$100, (A$2:A$100 = R3) * (D$2:D$100 = S3))))</f>
        <v>Wales (UK), CANADA-(INESSS), CANADA-(CADTH) Scotland, UK, France, UK</v>
      </c>
      <c r="X3" s="51" t="str" cm="1">
        <f t="array" ref="X3">_xlfn.TEXTJOIN(", ", TRUE, IF((A$2:A$100 = R3) * (D$2:D$100 = S3), L$2:L$100, ""))</f>
        <v>(Linley &amp; Hughes, 2012), (Mills, 2023), (H. Dakin, Devlin, Feng, Rice, O’Neill, et al., 2015)</v>
      </c>
      <c r="Y3" s="51" t="str">
        <f t="shared" ref="Y3:Y9" si="3">IF(OR(S3="OR", S3="RRR"), "OR / RRR", S3)</f>
        <v>OR / RRR</v>
      </c>
      <c r="AB3" s="51" t="s">
        <v>877</v>
      </c>
      <c r="AC3" s="46" t="s">
        <v>884</v>
      </c>
      <c r="AD3" s="51" t="str">
        <f t="shared" ref="AD3:AD9" si="4">IF(AE3=AF3, IF(AE3=0, "NO DATA", ROUND(AE3, 2)), ROUND(AE3, 2) &amp; "-" &amp; ROUND(AF3, 2))</f>
        <v>0,31-1,7</v>
      </c>
      <c r="AE3" s="200">
        <f t="shared" ref="AE3:AE9" si="5">_xlfn.MINIFS(U:U, R:R, AB3, Y:Y, AC3)</f>
        <v>0.30640000000000001</v>
      </c>
      <c r="AF3" s="46">
        <f t="shared" ref="AF3:AF9" si="6">_xlfn.MAXIFS(V:V, R:R, AB3, Y:Y, AC3)</f>
        <v>1.7010000000000001</v>
      </c>
      <c r="AG3" s="51" t="str" cm="1">
        <f t="array" ref="AG3">_xlfn.TEXTJOIN(", ", TRUE, _xlfn.UNIQUE(IF((R$2:R$100 = AB3) * (Y$2:Y$100 = AC3), W$2:W$100, "")))</f>
        <v>Wales (UK), CANADA-(INESSS), CANADA-(CADTH) Scotland, UK, France, UK</v>
      </c>
      <c r="AH3" s="51" t="str" cm="1">
        <f t="array" ref="AH3">_xlfn.TEXTJOIN(", ", TRUE, _xlfn.UNIQUE(IF((R$2:R$100 = AB3) * (Y$2:Y$100 = AC3), X$2:X$100, "")))</f>
        <v>(Linley &amp; Hughes, 2012), (Mills, 2023), (H. Dakin, Devlin, Feng, Rice, O’Neill, et al., 2015)</v>
      </c>
      <c r="AL3" s="51" t="s">
        <v>877</v>
      </c>
      <c r="AM3" s="51" t="s">
        <v>879</v>
      </c>
      <c r="AN3" s="51" t="str">
        <f t="shared" ref="AN3:AN9" si="7">IF(AO3=AP3, IF(AO3=0, "NO DATA", ROUND(AO3, 2)), ROUND(AO3, 2) &amp; "-" &amp; ROUND(AP3, 2))</f>
        <v>NO DATA</v>
      </c>
      <c r="AO3" s="199">
        <f t="shared" ref="AO3:AO9" si="8">_xlfn.MINIFS(E:E, A:A, AL3, D:D, AM3, J:J, "&lt;0,050")</f>
        <v>0</v>
      </c>
      <c r="AP3" s="199">
        <f t="shared" ref="AP3:AP9" si="9">_xlfn.MAXIFS(E:E, A:A, AL3, D:D, AM3, J:J, "&lt;0,050")</f>
        <v>0</v>
      </c>
      <c r="AQ3" s="51" t="str" cm="1">
        <f t="array" ref="AQ3">IFERROR(_xlfn.TEXTJOIN(", ", TRUE, _xlfn.UNIQUE(_xlfn._xlws.FILTER(K$2:K$100, (A$2:A$100 = R3) * (D$2:D$100 = S3) * ((J$2:J$100 &lt;= 0.05))))),"")</f>
        <v/>
      </c>
      <c r="AR3" s="51" t="str" cm="1">
        <f t="array" ref="AR3">_xlfn.TEXTJOIN(", ", TRUE, _xlfn.UNIQUE(IF((A$2:A$100 = R3) * (D$2:D$100 = S3) * ((J$2:J$100 &lt;= 0.05)), L$2:L$100, "")))</f>
        <v/>
      </c>
      <c r="AS3" s="51" t="str">
        <f t="shared" ref="AS3:AS9" si="10">IF(OR(AM3="OR", AM3="RRR"), "OR / RRR", AM3)</f>
        <v>OR / RRR</v>
      </c>
      <c r="AV3" s="51" t="s">
        <v>877</v>
      </c>
      <c r="AW3" s="46" t="s">
        <v>884</v>
      </c>
      <c r="AX3" s="194" t="str">
        <f t="shared" ref="AX3:AX9" si="11">IF(AY3=AZ3, IF(AY3=0, "NO DATA", ROUND(AY3, 2)), ROUND(AY3, 2) &amp; "-" &amp; ROUND(AZ3, 2))</f>
        <v>NO DATA</v>
      </c>
      <c r="AY3" s="200">
        <f t="shared" ref="AY3:AY9" si="12">_xlfn.MINIFS(AO:AO, AL:AL, AV3, AS:AS, AW3)</f>
        <v>0</v>
      </c>
      <c r="AZ3" s="46">
        <f t="shared" ref="AZ3:AZ7" si="13">_xlfn.MAXIFS(AP:AP, AL:AL, AV3, AS:AS, AW3)</f>
        <v>0</v>
      </c>
      <c r="BA3" s="51" t="str" cm="1">
        <f t="array" ref="BA3">_xlfn.TEXTJOIN(", ", TRUE, _xlfn.UNIQUE(IF((AL$2:AL$100 = AV3) * (AS$2:AS$100 = AW3), AQ$2:AQ$100, "")))</f>
        <v/>
      </c>
      <c r="BB3" s="51" t="str" cm="1">
        <f t="array" ref="BB3">_xlfn.TEXTJOIN(", ", TRUE, _xlfn.UNIQUE(IF((AL$2:AL$100 = AV3) * (AS$2:AS$100 = AW3), AR$2:AR$100, "")))</f>
        <v/>
      </c>
    </row>
    <row r="4" spans="1:54" ht="255">
      <c r="A4" s="96" t="s">
        <v>877</v>
      </c>
      <c r="B4" s="125" t="s">
        <v>878</v>
      </c>
      <c r="C4" s="96" t="s">
        <v>877</v>
      </c>
      <c r="D4" s="93" t="s">
        <v>879</v>
      </c>
      <c r="E4" s="95">
        <v>1.7010000000000001</v>
      </c>
      <c r="F4" s="95">
        <v>0.65600000000000003</v>
      </c>
      <c r="G4" s="95">
        <v>4.4111000000000002</v>
      </c>
      <c r="H4" s="96"/>
      <c r="I4" s="96"/>
      <c r="J4" s="96" t="s">
        <v>886</v>
      </c>
      <c r="K4" s="96" t="s">
        <v>840</v>
      </c>
      <c r="L4" s="96" t="s">
        <v>889</v>
      </c>
      <c r="R4" s="50" t="s">
        <v>890</v>
      </c>
      <c r="S4" s="51" t="s">
        <v>879</v>
      </c>
      <c r="T4" s="51" t="str">
        <f t="shared" si="0"/>
        <v>1,24-10,63</v>
      </c>
      <c r="U4" s="51">
        <f t="shared" si="1"/>
        <v>1.2350000000000001</v>
      </c>
      <c r="V4" s="51">
        <f t="shared" si="2"/>
        <v>10.634</v>
      </c>
      <c r="W4" s="51" t="str" cm="1">
        <f t="array" ref="W4">_xlfn.TEXTJOIN(", ", TRUE, _xlfn.UNIQUE(_xlfn._xlws.FILTER(K$2:K$100, (A$2:A$100 = R4) * (D$2:D$100 = S4))))</f>
        <v>South Korea, Australia, CANADA-(INESSS), CANADA-(CADTH) Scotland, UK, France</v>
      </c>
      <c r="X4" s="51" t="str" cm="1">
        <f t="array" ref="X4">_xlfn.TEXTJOIN(", ", TRUE, IF((A$2:A$100 = R4) * (D$2:D$100 = S4), L$2:L$100, ""))</f>
        <v>(Bae et al., 2018), (A. Harris et al., 2016), (Mills, 2023)</v>
      </c>
      <c r="Y4" s="51" t="str">
        <f t="shared" si="3"/>
        <v>OR / RRR</v>
      </c>
      <c r="AB4" s="50" t="s">
        <v>890</v>
      </c>
      <c r="AC4" s="46" t="s">
        <v>884</v>
      </c>
      <c r="AD4" s="51" t="str">
        <f t="shared" si="4"/>
        <v>0,46-10,63</v>
      </c>
      <c r="AE4" s="200">
        <f t="shared" si="5"/>
        <v>0.45600000000000002</v>
      </c>
      <c r="AF4" s="46">
        <f t="shared" si="6"/>
        <v>10.634</v>
      </c>
      <c r="AG4" s="51" t="str" cm="1">
        <f t="array" ref="AG4">_xlfn.TEXTJOIN(", ", TRUE, _xlfn.UNIQUE(IF((R$2:R$100 = AB4) * (Y$2:Y$100 = AC4), W$2:W$100, "")))</f>
        <v>South Korea, Australia, CANADA-(INESSS), CANADA-(CADTH) Scotland, UK, France, Australia, Canada, England, France, Germany, Scotland, Sweden</v>
      </c>
      <c r="AH4" s="51" t="str" cm="1">
        <f t="array" ref="AH4">_xlfn.TEXTJOIN(", ", TRUE, _xlfn.UNIQUE(IF((R$2:R$100 = AB4) * (Y$2:Y$100 = AC4), X$2:X$100, "")))</f>
        <v>(Bae et al., 2018), (A. Harris et al., 2016), (Mills, 2023), (Kanavos et al., 2023)</v>
      </c>
      <c r="AL4" s="50" t="s">
        <v>890</v>
      </c>
      <c r="AM4" s="51" t="s">
        <v>879</v>
      </c>
      <c r="AN4" s="51">
        <f t="shared" si="7"/>
        <v>10.63</v>
      </c>
      <c r="AO4" s="199">
        <f t="shared" si="8"/>
        <v>10.634</v>
      </c>
      <c r="AP4" s="199">
        <f t="shared" si="9"/>
        <v>10.634</v>
      </c>
      <c r="AQ4" s="51" t="str" cm="1">
        <f t="array" ref="AQ4">IFERROR(_xlfn.TEXTJOIN(", ", TRUE, _xlfn.UNIQUE(_xlfn._xlws.FILTER(K$2:K$100, (A$2:A$100 = R4) * (D$2:D$100 = S4) * ((J$2:J$100 &lt;= 0.05))))),"")</f>
        <v>Australia, CANADA-(INESSS), CANADA-(CADTH) Scotland, UK, France</v>
      </c>
      <c r="AR4" s="51" t="str" cm="1">
        <f t="array" ref="AR4">_xlfn.TEXTJOIN(", ", TRUE, _xlfn.UNIQUE(IF((A$2:A$100 = R4) * (D$2:D$100 = S4) * ((J$2:J$100 &lt;= 0.05)), L$2:L$100, "")))</f>
        <v>(A. Harris et al., 2016), (Mills, 2023)</v>
      </c>
      <c r="AS4" s="51" t="str">
        <f t="shared" si="10"/>
        <v>OR / RRR</v>
      </c>
      <c r="AV4" s="50" t="s">
        <v>890</v>
      </c>
      <c r="AW4" s="46" t="s">
        <v>884</v>
      </c>
      <c r="AX4" s="194" t="str">
        <f t="shared" si="11"/>
        <v>0,46-10,63</v>
      </c>
      <c r="AY4" s="200">
        <f t="shared" si="12"/>
        <v>0.45600000000000002</v>
      </c>
      <c r="AZ4" s="46">
        <f t="shared" si="13"/>
        <v>10.634</v>
      </c>
      <c r="BA4" s="51" t="str" cm="1">
        <f t="array" ref="BA4">_xlfn.TEXTJOIN(", ", TRUE, _xlfn.UNIQUE(IF((AL$2:AL$100 = AV4) * (AS$2:AS$100 = AW4), AQ$2:AQ$100, "")))</f>
        <v>Australia, CANADA-(INESSS), CANADA-(CADTH) Scotland, UK, France, Australia, Canada, England, France, Germany, Scotland, Sweden</v>
      </c>
      <c r="BB4" s="51" t="str" cm="1">
        <f t="array" ref="BB4">_xlfn.TEXTJOIN(", ", TRUE, _xlfn.UNIQUE(IF((AL$2:AL$100 = AV4) * (AS$2:AS$100 = AW4), AR$2:AR$100, "")))</f>
        <v>(A. Harris et al., 2016), (Mills, 2023), (Kanavos et al., 2023)</v>
      </c>
    </row>
    <row r="5" spans="1:54" ht="90">
      <c r="A5" s="96" t="s">
        <v>877</v>
      </c>
      <c r="B5" s="96" t="s">
        <v>878</v>
      </c>
      <c r="C5" s="96" t="s">
        <v>877</v>
      </c>
      <c r="D5" s="93" t="s">
        <v>891</v>
      </c>
      <c r="E5" s="95">
        <v>0.71399999999999997</v>
      </c>
      <c r="F5" s="95"/>
      <c r="G5" s="95"/>
      <c r="H5" s="96">
        <v>0.33900000000000002</v>
      </c>
      <c r="I5" s="96"/>
      <c r="J5" s="96" t="s">
        <v>886</v>
      </c>
      <c r="K5" s="96" t="s">
        <v>892</v>
      </c>
      <c r="L5" s="96" t="s">
        <v>893</v>
      </c>
      <c r="R5" s="50" t="s">
        <v>890</v>
      </c>
      <c r="S5" s="51" t="s">
        <v>891</v>
      </c>
      <c r="T5" s="51" t="str">
        <f t="shared" si="0"/>
        <v>0,46-0,46</v>
      </c>
      <c r="U5" s="51">
        <f t="shared" si="1"/>
        <v>0.45600000000000002</v>
      </c>
      <c r="V5" s="51">
        <f t="shared" si="2"/>
        <v>0.45600000000000002</v>
      </c>
      <c r="W5" s="51" t="str" cm="1">
        <f t="array" ref="W5">_xlfn.TEXTJOIN(", ", TRUE, _xlfn.UNIQUE(_xlfn._xlws.FILTER(K$2:K$100, (A$2:A$100 = R5) * (D$2:D$100 = S5))))</f>
        <v>Australia, Canada, England, France, Germany, Scotland, Sweden</v>
      </c>
      <c r="X5" s="51" t="str" cm="1">
        <f t="array" ref="X5">_xlfn.TEXTJOIN(", ", TRUE, IF((A$2:A$100 = R5) * (D$2:D$100 = S5), L$2:L$100, ""))</f>
        <v>(Kanavos et al., 2023)</v>
      </c>
      <c r="Y5" s="51" t="str">
        <f t="shared" si="3"/>
        <v>OR / RRR</v>
      </c>
      <c r="AB5" s="50" t="s">
        <v>890</v>
      </c>
      <c r="AC5" s="46" t="s">
        <v>894</v>
      </c>
      <c r="AD5" s="51">
        <f t="shared" si="4"/>
        <v>0.15</v>
      </c>
      <c r="AE5" s="200">
        <f t="shared" si="5"/>
        <v>0.15</v>
      </c>
      <c r="AF5" s="46">
        <f t="shared" si="6"/>
        <v>0.15</v>
      </c>
      <c r="AG5" s="51" t="str" cm="1">
        <f t="array" ref="AG5">_xlfn.TEXTJOIN(", ", TRUE, _xlfn.UNIQUE(IF((R$2:R$100 = AB5) * (Y$2:Y$100 = AC5), W$2:W$100, "")))</f>
        <v>Australia</v>
      </c>
      <c r="AH5" s="51" t="str" cm="1">
        <f t="array" ref="AH5">_xlfn.TEXTJOIN(", ", TRUE, _xlfn.UNIQUE(IF((R$2:R$100 = AB5) * (Y$2:Y$100 = AC5), X$2:X$100, "")))</f>
        <v>(A. H. Harris et al., 2008)</v>
      </c>
      <c r="AL5" s="50" t="s">
        <v>890</v>
      </c>
      <c r="AM5" s="51" t="s">
        <v>891</v>
      </c>
      <c r="AN5" s="51">
        <f t="shared" si="7"/>
        <v>0.46</v>
      </c>
      <c r="AO5" s="199">
        <f t="shared" si="8"/>
        <v>0.45600000000000002</v>
      </c>
      <c r="AP5" s="199">
        <f t="shared" si="9"/>
        <v>0.45600000000000002</v>
      </c>
      <c r="AQ5" s="51" t="str" cm="1">
        <f t="array" ref="AQ5">IFERROR(_xlfn.TEXTJOIN(", ", TRUE, _xlfn.UNIQUE(_xlfn._xlws.FILTER(K$2:K$100, (A$2:A$100 = R5) * (D$2:D$100 = S5) * ((J$2:J$100 &lt;= 0.05))))),"")</f>
        <v>Australia, Canada, England, France, Germany, Scotland, Sweden</v>
      </c>
      <c r="AR5" s="51" t="str" cm="1">
        <f t="array" ref="AR5">_xlfn.TEXTJOIN(", ", TRUE, _xlfn.UNIQUE(IF((A$2:A$100 = R5) * (D$2:D$100 = S5) * ((J$2:J$100 &lt;= 0.05)), L$2:L$100, "")))</f>
        <v>(Kanavos et al., 2023)</v>
      </c>
      <c r="AS5" s="51" t="str">
        <f t="shared" si="10"/>
        <v>OR / RRR</v>
      </c>
      <c r="AV5" s="50" t="s">
        <v>890</v>
      </c>
      <c r="AW5" s="46" t="s">
        <v>894</v>
      </c>
      <c r="AX5" s="194">
        <f t="shared" si="11"/>
        <v>0.15</v>
      </c>
      <c r="AY5" s="200">
        <f t="shared" si="12"/>
        <v>0.15</v>
      </c>
      <c r="AZ5" s="46">
        <f t="shared" si="13"/>
        <v>0.15</v>
      </c>
      <c r="BA5" s="51" t="str" cm="1">
        <f t="array" ref="BA5">_xlfn.TEXTJOIN(", ", TRUE, _xlfn.UNIQUE(IF((AL$2:AL$100 = AV5) * (AS$2:AS$100 = AW5), AQ$2:AQ$100, "")))</f>
        <v>Australia</v>
      </c>
      <c r="BB5" s="51" t="str" cm="1">
        <f t="array" ref="BB5">_xlfn.TEXTJOIN(", ", TRUE, _xlfn.UNIQUE(IF((AL$2:AL$100 = AV5) * (AS$2:AS$100 = AW5), AR$2:AR$100, "")))</f>
        <v>(A. H. Harris et al., 2008)</v>
      </c>
    </row>
    <row r="6" spans="1:54" ht="45">
      <c r="A6" s="100" t="s">
        <v>883</v>
      </c>
      <c r="B6" s="96" t="s">
        <v>878</v>
      </c>
      <c r="C6" s="100" t="s">
        <v>883</v>
      </c>
      <c r="D6" s="93" t="s">
        <v>879</v>
      </c>
      <c r="E6" s="95">
        <f>EXP(0.444)</f>
        <v>1.5589304856219153</v>
      </c>
      <c r="F6" s="95">
        <f>EXP(-1.383)</f>
        <v>0.25082494837281111</v>
      </c>
      <c r="G6" s="95">
        <f>EXP(2.271)</f>
        <v>9.6890850562009572</v>
      </c>
      <c r="H6" s="95"/>
      <c r="I6" s="95"/>
      <c r="J6" s="100" t="s">
        <v>886</v>
      </c>
      <c r="K6" s="100" t="s">
        <v>365</v>
      </c>
      <c r="L6" s="100" t="s">
        <v>895</v>
      </c>
      <c r="R6" s="50" t="s">
        <v>890</v>
      </c>
      <c r="S6" s="51" t="s">
        <v>894</v>
      </c>
      <c r="T6" s="51" t="str">
        <f t="shared" si="0"/>
        <v>0,15-0,15</v>
      </c>
      <c r="U6" s="51">
        <f t="shared" si="1"/>
        <v>0.15</v>
      </c>
      <c r="V6" s="51">
        <f t="shared" si="2"/>
        <v>0.15</v>
      </c>
      <c r="W6" s="51" t="str" cm="1">
        <f t="array" ref="W6">_xlfn.TEXTJOIN(", ", TRUE, _xlfn.UNIQUE(_xlfn._xlws.FILTER(K$2:K$100, (A$2:A$100 = R6) * (D$2:D$100 = S6))))</f>
        <v>Australia</v>
      </c>
      <c r="X6" s="51" t="str" cm="1">
        <f t="array" ref="X6">_xlfn.TEXTJOIN(", ", TRUE, IF((A$2:A$100 = R6) * (D$2:D$100 = S6), L$2:L$100, ""))</f>
        <v>(A. H. Harris et al., 2008)</v>
      </c>
      <c r="Y6" s="51" t="str">
        <f t="shared" si="3"/>
        <v>ME</v>
      </c>
      <c r="AB6" s="50" t="s">
        <v>890</v>
      </c>
      <c r="AC6" s="51" t="s">
        <v>894</v>
      </c>
      <c r="AD6" s="51">
        <f t="shared" si="4"/>
        <v>0.15</v>
      </c>
      <c r="AE6" s="200">
        <f t="shared" si="5"/>
        <v>0.15</v>
      </c>
      <c r="AF6" s="46">
        <f t="shared" si="6"/>
        <v>0.15</v>
      </c>
      <c r="AG6" s="51" t="str" cm="1">
        <f t="array" ref="AG6">_xlfn.TEXTJOIN(", ", TRUE, _xlfn.UNIQUE(IF((R$2:R$100 = AB6) * (Y$2:Y$100 = AC6), W$2:W$100, "")))</f>
        <v>Australia</v>
      </c>
      <c r="AH6" s="51" t="str" cm="1">
        <f t="array" ref="AH6">_xlfn.TEXTJOIN(", ", TRUE, _xlfn.UNIQUE(IF((R$2:R$100 = AB6) * (Y$2:Y$100 = AC6), X$2:X$100, "")))</f>
        <v>(A. H. Harris et al., 2008)</v>
      </c>
      <c r="AL6" s="50" t="s">
        <v>890</v>
      </c>
      <c r="AM6" s="51" t="s">
        <v>894</v>
      </c>
      <c r="AN6" s="51">
        <f t="shared" si="7"/>
        <v>0.15</v>
      </c>
      <c r="AO6" s="199">
        <f t="shared" si="8"/>
        <v>0.15</v>
      </c>
      <c r="AP6" s="199">
        <f t="shared" si="9"/>
        <v>0.15</v>
      </c>
      <c r="AQ6" s="51" t="str" cm="1">
        <f t="array" ref="AQ6">IFERROR(_xlfn.TEXTJOIN(", ", TRUE, _xlfn.UNIQUE(_xlfn._xlws.FILTER(K$2:K$100, (A$2:A$100 = R6) * (D$2:D$100 = S6) * ((J$2:J$100 &lt;= 0.05))))),"")</f>
        <v>Australia</v>
      </c>
      <c r="AR6" s="51" t="str" cm="1">
        <f t="array" ref="AR6">_xlfn.TEXTJOIN(", ", TRUE, _xlfn.UNIQUE(IF((A$2:A$100 = R6) * (D$2:D$100 = S6) * ((J$2:J$100 &lt;= 0.05)), L$2:L$100, "")))</f>
        <v>(A. H. Harris et al., 2008)</v>
      </c>
      <c r="AS6" s="51" t="str">
        <f t="shared" si="10"/>
        <v>ME</v>
      </c>
      <c r="AV6" s="50" t="s">
        <v>890</v>
      </c>
      <c r="AW6" s="51" t="s">
        <v>894</v>
      </c>
      <c r="AX6" s="194">
        <f t="shared" si="11"/>
        <v>0.15</v>
      </c>
      <c r="AY6" s="200">
        <f t="shared" si="12"/>
        <v>0.15</v>
      </c>
      <c r="AZ6" s="46">
        <f t="shared" si="13"/>
        <v>0.15</v>
      </c>
      <c r="BA6" s="51" t="str" cm="1">
        <f t="array" ref="BA6">_xlfn.TEXTJOIN(", ", TRUE, _xlfn.UNIQUE(IF((AL$2:AL$100 = AV6) * (AS$2:AS$100 = AW6), AQ$2:AQ$100, "")))</f>
        <v>Australia</v>
      </c>
      <c r="BB6" s="51" t="str" cm="1">
        <f t="array" ref="BB6">_xlfn.TEXTJOIN(", ", TRUE, _xlfn.UNIQUE(IF((AL$2:AL$100 = AV6) * (AS$2:AS$100 = AW6), AR$2:AR$100, "")))</f>
        <v>(A. H. Harris et al., 2008)</v>
      </c>
    </row>
    <row r="7" spans="1:54" ht="105">
      <c r="A7" s="92" t="s">
        <v>896</v>
      </c>
      <c r="B7" s="104" t="s">
        <v>897</v>
      </c>
      <c r="C7" s="100" t="s">
        <v>896</v>
      </c>
      <c r="D7" s="93" t="s">
        <v>879</v>
      </c>
      <c r="E7" s="95">
        <f>1/0.34</f>
        <v>2.9411764705882351</v>
      </c>
      <c r="F7" s="95">
        <f>1/0.63</f>
        <v>1.5873015873015872</v>
      </c>
      <c r="G7" s="95">
        <f>1/0.18</f>
        <v>5.5555555555555554</v>
      </c>
      <c r="H7" s="95"/>
      <c r="I7" s="95"/>
      <c r="J7" s="96">
        <v>1E-3</v>
      </c>
      <c r="K7" s="96" t="s">
        <v>365</v>
      </c>
      <c r="L7" s="92" t="s">
        <v>898</v>
      </c>
      <c r="R7" s="51" t="s">
        <v>899</v>
      </c>
      <c r="S7" s="51" t="s">
        <v>879</v>
      </c>
      <c r="T7" s="51" t="str">
        <f t="shared" si="0"/>
        <v>1,08-1,08</v>
      </c>
      <c r="U7" s="51">
        <f t="shared" si="1"/>
        <v>1.08</v>
      </c>
      <c r="V7" s="51">
        <f t="shared" si="2"/>
        <v>1.08</v>
      </c>
      <c r="W7" s="51" t="str" cm="1">
        <f t="array" ref="W7">_xlfn.TEXTJOIN(", ", TRUE, _xlfn.UNIQUE(_xlfn._xlws.FILTER(K$2:K$100, (A$2:A$100 = R7) * (D$2:D$100 = S7))))</f>
        <v>The Netherlands, New Zealand, Norway, Sweden, UK, USA</v>
      </c>
      <c r="X7" s="51" t="str" cm="1">
        <f t="array" ref="X7">_xlfn.TEXTJOIN(", ", TRUE, IF((A$2:A$100 = R7) * (D$2:D$100 = S7), L$2:L$100, ""))</f>
        <v>(Draborg &amp; Andersen, 2006)</v>
      </c>
      <c r="Y7" s="51" t="str">
        <f t="shared" si="3"/>
        <v>OR / RRR</v>
      </c>
      <c r="AB7" s="51" t="s">
        <v>899</v>
      </c>
      <c r="AC7" s="46" t="s">
        <v>884</v>
      </c>
      <c r="AD7" s="51">
        <f t="shared" si="4"/>
        <v>1.08</v>
      </c>
      <c r="AE7" s="200">
        <f t="shared" si="5"/>
        <v>1.08</v>
      </c>
      <c r="AF7" s="46">
        <f t="shared" si="6"/>
        <v>1.08</v>
      </c>
      <c r="AG7" s="51" t="str" cm="1">
        <f t="array" ref="AG7">_xlfn.TEXTJOIN(", ", TRUE, _xlfn.UNIQUE(IF((R$2:R$100 = AB7) * (Y$2:Y$100 = AC7), W$2:W$100, "")))</f>
        <v>The Netherlands, New Zealand, Norway, Sweden, UK, USA</v>
      </c>
      <c r="AH7" s="51" t="str" cm="1">
        <f t="array" ref="AH7">_xlfn.TEXTJOIN(", ", TRUE, _xlfn.UNIQUE(IF((R$2:R$100 = AB7) * (Y$2:Y$100 = AC7), X$2:X$100, "")))</f>
        <v>(Draborg &amp; Andersen, 2006)</v>
      </c>
      <c r="AL7" s="51" t="s">
        <v>899</v>
      </c>
      <c r="AM7" s="51" t="s">
        <v>879</v>
      </c>
      <c r="AN7" s="51" t="str">
        <f>IF(AO7=AP7, IF(AO7=0, "NO DATA", ROUND(AO7, 2)), ROUND(AO7, 2) &amp; "-" &amp; ROUND(AP7, 2))</f>
        <v>NO DATA</v>
      </c>
      <c r="AO7" s="199">
        <f t="shared" si="8"/>
        <v>0</v>
      </c>
      <c r="AP7" s="199">
        <f t="shared" si="9"/>
        <v>0</v>
      </c>
      <c r="AQ7" s="51" t="str" cm="1">
        <f t="array" ref="AQ7">IFERROR(_xlfn.TEXTJOIN(", ", TRUE, _xlfn.UNIQUE(_xlfn._xlws.FILTER(K$2:K$100, (A$2:A$100 = R7) * (D$2:D$100 = S7) * ((J$2:J$100 &lt;= 0.05))))),"")</f>
        <v/>
      </c>
      <c r="AR7" s="51" t="str" cm="1">
        <f t="array" ref="AR7">_xlfn.TEXTJOIN(", ", TRUE, _xlfn.UNIQUE(IF((A$2:A$100 = R7) * (D$2:D$100 = S7) * ((J$2:J$100 &lt;= 0.05)), L$2:L$100, "")))</f>
        <v/>
      </c>
      <c r="AS7" s="51" t="str">
        <f t="shared" si="10"/>
        <v>OR / RRR</v>
      </c>
      <c r="AV7" s="51" t="s">
        <v>899</v>
      </c>
      <c r="AW7" s="46" t="s">
        <v>884</v>
      </c>
      <c r="AX7" s="194" t="str">
        <f t="shared" si="11"/>
        <v>NO DATA</v>
      </c>
      <c r="AY7" s="200">
        <f t="shared" si="12"/>
        <v>0</v>
      </c>
      <c r="AZ7" s="46">
        <f t="shared" si="13"/>
        <v>0</v>
      </c>
      <c r="BA7" s="51" t="str" cm="1">
        <f t="array" ref="BA7">_xlfn.TEXTJOIN(", ", TRUE, _xlfn.UNIQUE(IF((AL$2:AL$100 = AV7) * (AS$2:AS$100 = AW7), AQ$2:AQ$100, "")))</f>
        <v/>
      </c>
      <c r="BB7" s="51" t="str" cm="1">
        <f t="array" ref="BB7">_xlfn.TEXTJOIN(", ", TRUE, _xlfn.UNIQUE(IF((AL$2:AL$100 = AV7) * (AS$2:AS$100 = AW7), AR$2:AR$100, "")))</f>
        <v/>
      </c>
    </row>
    <row r="8" spans="1:54" ht="105">
      <c r="A8" s="96" t="s">
        <v>890</v>
      </c>
      <c r="B8" s="104" t="s">
        <v>897</v>
      </c>
      <c r="C8" s="100" t="s">
        <v>900</v>
      </c>
      <c r="D8" s="93" t="s">
        <v>894</v>
      </c>
      <c r="E8" s="95">
        <v>0.15</v>
      </c>
      <c r="F8" s="95">
        <v>0.02</v>
      </c>
      <c r="G8" s="95">
        <v>0.28000000000000003</v>
      </c>
      <c r="H8" s="95"/>
      <c r="I8" s="95"/>
      <c r="J8" s="100">
        <v>0.02</v>
      </c>
      <c r="K8" s="100" t="s">
        <v>365</v>
      </c>
      <c r="L8" s="100" t="s">
        <v>901</v>
      </c>
      <c r="R8" s="51" t="s">
        <v>902</v>
      </c>
      <c r="S8" s="51" t="s">
        <v>879</v>
      </c>
      <c r="T8" s="51" t="str">
        <f t="shared" si="0"/>
        <v>0,7-0,7</v>
      </c>
      <c r="U8" s="51">
        <f t="shared" si="1"/>
        <v>0.7</v>
      </c>
      <c r="V8" s="51">
        <f t="shared" si="2"/>
        <v>0.7</v>
      </c>
      <c r="W8" s="51" t="str" cm="1">
        <f t="array" ref="W8">_xlfn.TEXTJOIN(", ", TRUE, _xlfn.UNIQUE(_xlfn._xlws.FILTER(K$2:K$100, (A$2:A$100 = R8) * (D$2:D$100 = S8))))</f>
        <v>The Netherlands, New Zealand, Norway, Sweden, UK, USA</v>
      </c>
      <c r="X8" s="51" t="str" cm="1">
        <f t="array" ref="X8">_xlfn.TEXTJOIN(", ", TRUE, IF((A$2:A$100 = R8) * (D$2:D$100 = S8), L$2:L$100, ""))</f>
        <v>(Draborg &amp; Andersen, 2006)</v>
      </c>
      <c r="Y8" s="51" t="str">
        <f t="shared" si="3"/>
        <v>OR / RRR</v>
      </c>
      <c r="AB8" s="51" t="s">
        <v>902</v>
      </c>
      <c r="AC8" s="46" t="s">
        <v>884</v>
      </c>
      <c r="AD8" s="51">
        <f t="shared" si="4"/>
        <v>0.7</v>
      </c>
      <c r="AE8" s="200">
        <f t="shared" si="5"/>
        <v>0.7</v>
      </c>
      <c r="AF8" s="46">
        <f>_xlfn.MAXIFS(V:V, R:R, AB8, Y:Y, AC8)</f>
        <v>0.7</v>
      </c>
      <c r="AG8" s="51" t="str" cm="1">
        <f t="array" ref="AG8">_xlfn.TEXTJOIN(", ", TRUE, _xlfn.UNIQUE(IF((R$2:R$100 = AB8) * (Y$2:Y$100 = AC8), W$2:W$100, "")))</f>
        <v>The Netherlands, New Zealand, Norway, Sweden, UK, USA</v>
      </c>
      <c r="AH8" s="51" t="str" cm="1">
        <f t="array" ref="AH8">_xlfn.TEXTJOIN(", ", TRUE, _xlfn.UNIQUE(IF((R$2:R$100 = AB8) * (Y$2:Y$100 = AC8), X$2:X$100, "")))</f>
        <v>(Draborg &amp; Andersen, 2006)</v>
      </c>
      <c r="AL8" s="51" t="s">
        <v>902</v>
      </c>
      <c r="AM8" s="51" t="s">
        <v>879</v>
      </c>
      <c r="AN8" s="51" t="str">
        <f t="shared" si="7"/>
        <v>NO DATA</v>
      </c>
      <c r="AO8" s="199">
        <f t="shared" si="8"/>
        <v>0</v>
      </c>
      <c r="AP8" s="199">
        <f t="shared" si="9"/>
        <v>0</v>
      </c>
      <c r="AQ8" s="51" t="str" cm="1">
        <f t="array" ref="AQ8">IFERROR(_xlfn.TEXTJOIN(", ", TRUE, _xlfn.UNIQUE(_xlfn._xlws.FILTER(K$2:K$100, (A$2:A$100 = R8) * (D$2:D$100 = S8) * ((J$2:J$100 &lt;= 0.05))))),"")</f>
        <v/>
      </c>
      <c r="AR8" s="51" t="str" cm="1">
        <f t="array" ref="AR8">_xlfn.TEXTJOIN(", ", TRUE, _xlfn.UNIQUE(IF((A$2:A$100 = R8) * (D$2:D$100 = S8) * ((J$2:J$100 &lt;= 0.05)), L$2:L$100, "")))</f>
        <v/>
      </c>
      <c r="AS8" s="51" t="str">
        <f t="shared" si="10"/>
        <v>OR / RRR</v>
      </c>
      <c r="AV8" s="51" t="s">
        <v>902</v>
      </c>
      <c r="AW8" s="46" t="s">
        <v>884</v>
      </c>
      <c r="AX8" s="194" t="str">
        <f t="shared" si="11"/>
        <v>NO DATA</v>
      </c>
      <c r="AY8" s="200">
        <f t="shared" si="12"/>
        <v>0</v>
      </c>
      <c r="AZ8" s="46">
        <f>_xlfn.MAXIFS(AP:AP, AL:AL, AV8, AS:AS, AW8)</f>
        <v>0</v>
      </c>
      <c r="BA8" s="51" t="str" cm="1">
        <f t="array" ref="BA8">_xlfn.TEXTJOIN(", ", TRUE, _xlfn.UNIQUE(IF((AL$2:AL$100 = AV8) * (AS$2:AS$100 = AW8), AQ$2:AQ$100, "")))</f>
        <v/>
      </c>
      <c r="BB8" s="51" t="str" cm="1">
        <f t="array" ref="BB8">_xlfn.TEXTJOIN(", ", TRUE, _xlfn.UNIQUE(IF((AL$2:AL$100 = AV8) * (AS$2:AS$100 = AW8), AR$2:AR$100, "")))</f>
        <v/>
      </c>
    </row>
    <row r="9" spans="1:54" ht="60">
      <c r="A9" s="96" t="s">
        <v>890</v>
      </c>
      <c r="B9" s="96" t="s">
        <v>903</v>
      </c>
      <c r="C9" s="96" t="s">
        <v>904</v>
      </c>
      <c r="D9" s="93" t="s">
        <v>879</v>
      </c>
      <c r="E9" s="95">
        <v>1.2350000000000001</v>
      </c>
      <c r="F9" s="95">
        <v>0.11</v>
      </c>
      <c r="G9" s="95">
        <v>13.99</v>
      </c>
      <c r="H9" s="95"/>
      <c r="I9" s="95"/>
      <c r="J9" s="96" t="s">
        <v>886</v>
      </c>
      <c r="K9" s="96" t="s">
        <v>182</v>
      </c>
      <c r="L9" s="92" t="s">
        <v>905</v>
      </c>
      <c r="R9" s="51" t="s">
        <v>906</v>
      </c>
      <c r="S9" s="51" t="s">
        <v>879</v>
      </c>
      <c r="T9" s="51" t="str">
        <f t="shared" si="0"/>
        <v>0-0</v>
      </c>
      <c r="U9" s="51">
        <f t="shared" si="1"/>
        <v>0</v>
      </c>
      <c r="V9" s="51">
        <f t="shared" si="2"/>
        <v>0</v>
      </c>
      <c r="W9" s="51" t="e" cm="1" vm="1">
        <f t="array" ref="W9">_xlfn.TEXTJOIN(", ", TRUE, _xlfn.UNIQUE(_xlfn._xlws.FILTER(K$2:K$100, (A$2:A$100 = R9) * (D$2:D$100 = S9))))</f>
        <v>#VALUE!</v>
      </c>
      <c r="X9" s="51" t="str" cm="1">
        <f t="array" ref="X9">_xlfn.TEXTJOIN(", ", TRUE, IF((A$2:A$100 = R9) * (D$2:D$100 = S9), L$2:L$100, ""))</f>
        <v/>
      </c>
      <c r="Y9" s="51" t="str">
        <f t="shared" si="3"/>
        <v>OR / RRR</v>
      </c>
      <c r="AB9" s="51" t="s">
        <v>906</v>
      </c>
      <c r="AC9" s="46" t="s">
        <v>884</v>
      </c>
      <c r="AD9" s="51" t="str">
        <f t="shared" si="4"/>
        <v>NO DATA</v>
      </c>
      <c r="AE9" s="200">
        <f t="shared" si="5"/>
        <v>0</v>
      </c>
      <c r="AF9" s="46">
        <f t="shared" si="6"/>
        <v>0</v>
      </c>
      <c r="AG9" s="51" t="e" cm="1" vm="2">
        <f t="array" ref="AG9">_xlfn.TEXTJOIN(", ", TRUE, _xlfn.UNIQUE(IF((R$2:R$100 = AB9) * (Y$2:Y$100 = AC9), W$2:W$100, "")))</f>
        <v>#VALUE!</v>
      </c>
      <c r="AH9" s="51" t="str" cm="1">
        <f t="array" ref="AH9">_xlfn.TEXTJOIN(", ", TRUE, _xlfn.UNIQUE(IF((R$2:R$100 = AB9) * (Y$2:Y$100 = AC9), X$2:X$100, "")))</f>
        <v/>
      </c>
      <c r="AL9" s="51" t="s">
        <v>906</v>
      </c>
      <c r="AM9" s="51" t="s">
        <v>879</v>
      </c>
      <c r="AN9" s="51" t="str">
        <f t="shared" si="7"/>
        <v>NO DATA</v>
      </c>
      <c r="AO9" s="199">
        <f t="shared" si="8"/>
        <v>0</v>
      </c>
      <c r="AP9" s="199">
        <f t="shared" si="9"/>
        <v>0</v>
      </c>
      <c r="AQ9" s="51" t="str" cm="1">
        <f t="array" ref="AQ9">IFERROR(_xlfn.TEXTJOIN(", ", TRUE, _xlfn.UNIQUE(_xlfn._xlws.FILTER(K$2:K$100, (A$2:A$100 = R9) * (D$2:D$100 = S9) * ((J$2:J$100 &lt;= 0.05))))),"")</f>
        <v/>
      </c>
      <c r="AR9" s="51" t="str" cm="1">
        <f t="array" ref="AR9">_xlfn.TEXTJOIN(", ", TRUE, _xlfn.UNIQUE(IF((A$2:A$100 = R9) * (D$2:D$100 = S9) * ((J$2:J$100 &lt;= 0.05)), L$2:L$100, "")))</f>
        <v/>
      </c>
      <c r="AS9" s="51" t="str">
        <f t="shared" si="10"/>
        <v>OR / RRR</v>
      </c>
      <c r="AV9" s="51" t="s">
        <v>906</v>
      </c>
      <c r="AW9" s="46" t="s">
        <v>884</v>
      </c>
      <c r="AX9" s="194" t="str">
        <f t="shared" si="11"/>
        <v>NO DATA</v>
      </c>
      <c r="AY9" s="200">
        <f t="shared" si="12"/>
        <v>0</v>
      </c>
      <c r="AZ9" s="46">
        <f t="shared" ref="AZ9" si="14">_xlfn.MAXIFS(AP:AP, AL:AL, AV9, AS:AS, AW9)</f>
        <v>0</v>
      </c>
      <c r="BA9" s="51" t="str" cm="1">
        <f t="array" ref="BA9">_xlfn.TEXTJOIN(", ", TRUE, _xlfn.UNIQUE(IF((AL$2:AL$100 = AV9) * (AS$2:AS$100 = AW9), AQ$2:AQ$100, "")))</f>
        <v/>
      </c>
      <c r="BB9" s="51" t="str" cm="1">
        <f t="array" ref="BB9">_xlfn.TEXTJOIN(", ", TRUE, _xlfn.UNIQUE(IF((AL$2:AL$100 = AV9) * (AS$2:AS$100 = AW9), AR$2:AR$100, "")))</f>
        <v/>
      </c>
    </row>
    <row r="10" spans="1:54" ht="30">
      <c r="A10" s="96" t="s">
        <v>890</v>
      </c>
      <c r="B10" s="96" t="s">
        <v>907</v>
      </c>
      <c r="C10" s="96" t="s">
        <v>908</v>
      </c>
      <c r="D10" s="93" t="s">
        <v>879</v>
      </c>
      <c r="E10" s="95">
        <f>1/0.49</f>
        <v>2.0408163265306123</v>
      </c>
      <c r="F10" s="95">
        <f>1/1</f>
        <v>1</v>
      </c>
      <c r="G10" s="95">
        <f>1/0.24</f>
        <v>4.166666666666667</v>
      </c>
      <c r="H10" s="95"/>
      <c r="I10" s="95"/>
      <c r="J10" s="96">
        <v>0.05</v>
      </c>
      <c r="K10" s="96" t="s">
        <v>365</v>
      </c>
      <c r="L10" s="92" t="s">
        <v>909</v>
      </c>
    </row>
    <row r="11" spans="1:54" ht="45">
      <c r="A11" s="96" t="s">
        <v>890</v>
      </c>
      <c r="B11" s="104" t="s">
        <v>885</v>
      </c>
      <c r="C11" s="96" t="s">
        <v>890</v>
      </c>
      <c r="D11" s="93" t="s">
        <v>879</v>
      </c>
      <c r="E11" s="95">
        <v>10.634</v>
      </c>
      <c r="F11" s="95"/>
      <c r="G11" s="95"/>
      <c r="H11" s="95">
        <v>8.4009999999999998</v>
      </c>
      <c r="I11" s="95"/>
      <c r="J11" s="96">
        <v>0.01</v>
      </c>
      <c r="K11" s="99" t="s">
        <v>887</v>
      </c>
      <c r="L11" s="92" t="s">
        <v>888</v>
      </c>
    </row>
    <row r="12" spans="1:54" ht="60">
      <c r="A12" s="96" t="s">
        <v>890</v>
      </c>
      <c r="B12" s="96" t="s">
        <v>878</v>
      </c>
      <c r="C12" s="96" t="s">
        <v>890</v>
      </c>
      <c r="D12" s="93" t="s">
        <v>891</v>
      </c>
      <c r="E12" s="95">
        <f>0.456</f>
        <v>0.45600000000000002</v>
      </c>
      <c r="F12" s="95"/>
      <c r="G12" s="95"/>
      <c r="H12" s="95">
        <v>0.105</v>
      </c>
      <c r="I12" s="95"/>
      <c r="J12" s="96">
        <v>0.01</v>
      </c>
      <c r="K12" s="96" t="s">
        <v>892</v>
      </c>
      <c r="L12" s="119" t="s">
        <v>893</v>
      </c>
    </row>
    <row r="13" spans="1:54" ht="60">
      <c r="A13" s="96" t="s">
        <v>899</v>
      </c>
      <c r="B13" s="125" t="s">
        <v>897</v>
      </c>
      <c r="C13" s="100" t="s">
        <v>910</v>
      </c>
      <c r="D13" s="93" t="s">
        <v>879</v>
      </c>
      <c r="E13" s="95">
        <v>1.08</v>
      </c>
      <c r="F13" s="95">
        <v>0.54</v>
      </c>
      <c r="G13" s="95">
        <v>2.17</v>
      </c>
      <c r="H13" s="95"/>
      <c r="I13" s="95"/>
      <c r="J13" s="100" t="s">
        <v>886</v>
      </c>
      <c r="K13" s="100" t="s">
        <v>911</v>
      </c>
      <c r="L13" s="105" t="s">
        <v>912</v>
      </c>
    </row>
    <row r="14" spans="1:54" ht="60">
      <c r="A14" s="96" t="s">
        <v>902</v>
      </c>
      <c r="B14" s="125" t="s">
        <v>897</v>
      </c>
      <c r="C14" s="100" t="s">
        <v>913</v>
      </c>
      <c r="D14" s="93" t="s">
        <v>879</v>
      </c>
      <c r="E14" s="95">
        <v>0.7</v>
      </c>
      <c r="F14" s="95">
        <v>0.36</v>
      </c>
      <c r="G14" s="95">
        <v>1.38</v>
      </c>
      <c r="H14" s="95"/>
      <c r="I14" s="95"/>
      <c r="J14" s="100" t="s">
        <v>886</v>
      </c>
      <c r="K14" s="100" t="s">
        <v>911</v>
      </c>
      <c r="L14" s="105" t="s">
        <v>912</v>
      </c>
    </row>
    <row r="15" spans="1:54" ht="60">
      <c r="A15" s="113" t="s">
        <v>902</v>
      </c>
      <c r="B15" s="148" t="s">
        <v>914</v>
      </c>
      <c r="C15" s="113" t="s">
        <v>915</v>
      </c>
      <c r="D15" s="114" t="s">
        <v>891</v>
      </c>
      <c r="E15" s="115">
        <f>1/EXP(-1.204)</f>
        <v>3.3334239868128992</v>
      </c>
      <c r="F15" s="115">
        <f>1/EXP(0.941)</f>
        <v>0.39023740277199193</v>
      </c>
      <c r="G15" s="115">
        <f>1/EXP(-3.349)</f>
        <v>28.47424515674107</v>
      </c>
      <c r="H15" s="115"/>
      <c r="I15" s="115"/>
      <c r="J15" s="113">
        <v>0.27100000000000002</v>
      </c>
      <c r="K15" s="113" t="s">
        <v>840</v>
      </c>
      <c r="L15" s="127" t="s">
        <v>916</v>
      </c>
    </row>
    <row r="16" spans="1:54">
      <c r="A16" s="100"/>
      <c r="B16" s="100"/>
      <c r="C16" s="100"/>
      <c r="D16" s="93"/>
      <c r="E16" s="95"/>
      <c r="F16" s="95"/>
      <c r="G16" s="95"/>
      <c r="H16" s="95"/>
      <c r="I16" s="95"/>
      <c r="J16" s="100"/>
      <c r="K16" s="100"/>
      <c r="L16" s="100"/>
    </row>
    <row r="17" spans="1:12" ht="45">
      <c r="A17" s="106" t="s">
        <v>917</v>
      </c>
      <c r="B17" s="104" t="s">
        <v>897</v>
      </c>
      <c r="C17" s="96" t="s">
        <v>918</v>
      </c>
      <c r="D17" s="106" t="s">
        <v>879</v>
      </c>
      <c r="E17" s="126">
        <v>0.63</v>
      </c>
      <c r="F17" s="126">
        <v>0.26</v>
      </c>
      <c r="G17" s="126">
        <v>1.53</v>
      </c>
      <c r="H17" s="126"/>
      <c r="I17" s="126"/>
      <c r="J17" s="96" t="s">
        <v>886</v>
      </c>
      <c r="K17" s="96" t="s">
        <v>365</v>
      </c>
      <c r="L17" s="96" t="s">
        <v>919</v>
      </c>
    </row>
    <row r="18" spans="1:12" ht="45">
      <c r="A18" s="96" t="s">
        <v>920</v>
      </c>
      <c r="B18" s="106" t="s">
        <v>914</v>
      </c>
      <c r="C18" s="96" t="s">
        <v>920</v>
      </c>
      <c r="D18" s="106" t="s">
        <v>891</v>
      </c>
      <c r="E18" s="150">
        <f>1/EXP(1.939)</f>
        <v>0.14384772560341214</v>
      </c>
      <c r="F18" s="126">
        <f>1/EXP(5.911)</f>
        <v>2.7094760561407836E-3</v>
      </c>
      <c r="G18" s="126">
        <f>1/EXP(-2.033)</f>
        <v>7.6369629155340295</v>
      </c>
      <c r="H18" s="126"/>
      <c r="I18" s="126"/>
      <c r="J18" s="96">
        <v>0.33900000000000002</v>
      </c>
      <c r="K18" s="96" t="s">
        <v>840</v>
      </c>
      <c r="L18" s="92" t="s">
        <v>916</v>
      </c>
    </row>
  </sheetData>
  <autoFilter ref="AV1:BB9" xr:uid="{8424BC74-2F82-4827-84F2-BBE8A79B2ADD}"/>
  <sortState xmlns:xlrd2="http://schemas.microsoft.com/office/spreadsheetml/2017/richdata2" ref="A2:L16">
    <sortCondition ref="A2:A16"/>
    <sortCondition ref="D2:D16"/>
    <sortCondition ref="E2:E16"/>
  </sortState>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87A-CEBB-4F38-9934-5030979774A2}">
  <sheetPr codeName="Sheet5"/>
  <dimension ref="A1:BB17"/>
  <sheetViews>
    <sheetView topLeftCell="A5" workbookViewId="0">
      <selection activeCell="E13" sqref="E13"/>
    </sheetView>
  </sheetViews>
  <sheetFormatPr defaultRowHeight="15"/>
  <cols>
    <col min="2" max="2" width="24" customWidth="1"/>
    <col min="3" max="3" width="12.28515625" customWidth="1"/>
    <col min="11" max="11" width="22" customWidth="1"/>
    <col min="12" max="12" width="14.7109375" customWidth="1"/>
    <col min="17" max="17" width="16.85546875" customWidth="1"/>
    <col min="18" max="18" width="22.28515625" customWidth="1"/>
    <col min="19" max="19" width="22.5703125" customWidth="1"/>
    <col min="20" max="22" width="32" customWidth="1"/>
    <col min="23" max="23" width="23.7109375" customWidth="1"/>
    <col min="24" max="24" width="23.28515625" customWidth="1"/>
    <col min="25" max="25" width="12.28515625" customWidth="1"/>
    <col min="26" max="26" width="17.140625" customWidth="1"/>
    <col min="27" max="27" width="15.5703125" customWidth="1"/>
    <col min="28" max="28" width="13.140625" customWidth="1"/>
    <col min="33" max="33" width="18.85546875" customWidth="1"/>
    <col min="37" max="37" width="14" customWidth="1"/>
    <col min="40" max="42" width="13.7109375" customWidth="1"/>
    <col min="43" max="43" width="30.5703125" customWidth="1"/>
    <col min="44" max="44" width="41.28515625" customWidth="1"/>
    <col min="47" max="47" width="18.7109375" customWidth="1"/>
    <col min="48" max="48" width="11.5703125" customWidth="1"/>
    <col min="50" max="50" width="14.5703125" customWidth="1"/>
    <col min="52" max="52" width="12.85546875" customWidth="1"/>
    <col min="53" max="53" width="32.28515625" customWidth="1"/>
  </cols>
  <sheetData>
    <row r="1" spans="1:54" ht="75">
      <c r="A1" s="49" t="s">
        <v>857</v>
      </c>
      <c r="B1" s="49" t="s">
        <v>858</v>
      </c>
      <c r="C1" s="49" t="s">
        <v>859</v>
      </c>
      <c r="D1" s="49" t="s">
        <v>860</v>
      </c>
      <c r="E1" s="49" t="s">
        <v>861</v>
      </c>
      <c r="F1" s="49" t="s">
        <v>862</v>
      </c>
      <c r="G1" s="49" t="s">
        <v>863</v>
      </c>
      <c r="H1" s="49" t="s">
        <v>864</v>
      </c>
      <c r="I1" s="49" t="s">
        <v>865</v>
      </c>
      <c r="J1" s="49" t="s">
        <v>921</v>
      </c>
      <c r="K1" s="49" t="s">
        <v>867</v>
      </c>
      <c r="L1" s="49" t="s">
        <v>868</v>
      </c>
      <c r="Q1" s="50" t="s">
        <v>869</v>
      </c>
      <c r="R1" s="49" t="s">
        <v>859</v>
      </c>
      <c r="S1" s="49" t="s">
        <v>860</v>
      </c>
      <c r="T1" s="49" t="s">
        <v>870</v>
      </c>
      <c r="U1" s="49" t="s">
        <v>871</v>
      </c>
      <c r="V1" s="49" t="s">
        <v>872</v>
      </c>
      <c r="W1" s="49" t="s">
        <v>867</v>
      </c>
      <c r="X1" s="49" t="s">
        <v>873</v>
      </c>
      <c r="Y1" s="49" t="s">
        <v>874</v>
      </c>
      <c r="AA1" s="50" t="s">
        <v>875</v>
      </c>
      <c r="AB1" s="49" t="s">
        <v>859</v>
      </c>
      <c r="AC1" s="49" t="s">
        <v>860</v>
      </c>
      <c r="AD1" s="49" t="s">
        <v>870</v>
      </c>
      <c r="AE1" s="49" t="s">
        <v>871</v>
      </c>
      <c r="AF1" s="49" t="s">
        <v>872</v>
      </c>
      <c r="AG1" s="49" t="s">
        <v>867</v>
      </c>
      <c r="AH1" s="49" t="s">
        <v>873</v>
      </c>
      <c r="AK1" s="50" t="s">
        <v>876</v>
      </c>
      <c r="AL1" s="49" t="s">
        <v>859</v>
      </c>
      <c r="AM1" s="49" t="s">
        <v>860</v>
      </c>
      <c r="AN1" s="49" t="s">
        <v>870</v>
      </c>
      <c r="AO1" s="49" t="s">
        <v>871</v>
      </c>
      <c r="AP1" s="49" t="s">
        <v>872</v>
      </c>
      <c r="AQ1" s="49" t="s">
        <v>867</v>
      </c>
      <c r="AR1" s="49" t="s">
        <v>873</v>
      </c>
      <c r="AS1" s="49" t="s">
        <v>874</v>
      </c>
      <c r="AU1" s="201" t="s">
        <v>922</v>
      </c>
      <c r="AV1" s="49" t="s">
        <v>859</v>
      </c>
      <c r="AW1" s="49" t="s">
        <v>860</v>
      </c>
      <c r="AX1" s="49" t="s">
        <v>870</v>
      </c>
      <c r="AY1" s="49" t="s">
        <v>871</v>
      </c>
      <c r="AZ1" s="49" t="s">
        <v>872</v>
      </c>
      <c r="BA1" s="49" t="s">
        <v>867</v>
      </c>
      <c r="BB1" s="49" t="s">
        <v>873</v>
      </c>
    </row>
    <row r="2" spans="1:54" ht="100.5" customHeight="1">
      <c r="A2" s="51"/>
      <c r="B2" s="104"/>
      <c r="C2" s="43"/>
      <c r="D2" s="46"/>
      <c r="E2" s="48"/>
      <c r="F2" s="48"/>
      <c r="G2" s="48"/>
      <c r="H2" s="48"/>
      <c r="I2" s="48"/>
      <c r="J2" s="43"/>
      <c r="K2" s="43"/>
      <c r="L2" s="47"/>
      <c r="Q2" s="51" t="s">
        <v>882</v>
      </c>
      <c r="R2" s="44" t="s">
        <v>923</v>
      </c>
      <c r="S2" s="51" t="s">
        <v>879</v>
      </c>
      <c r="T2" s="51" t="str">
        <f>ROUND(U2, 2) &amp; "-" &amp; ROUND(V2, 2)</f>
        <v>0,82-43,35</v>
      </c>
      <c r="U2" s="199">
        <f>_xlfn.MINIFS(E:E, A:A, R2, D:D, S2)</f>
        <v>0.82</v>
      </c>
      <c r="V2" s="199">
        <f>_xlfn.MAXIFS(E:E, A:A, R2, D:D, S2)</f>
        <v>43.35</v>
      </c>
      <c r="W2" s="51" t="str" cm="1">
        <f t="array" ref="W2">_xlfn.TEXTJOIN(", ", TRUE, _xlfn.UNIQUE(_xlfn._xlws.FILTER(K$2:K$100, (A$2:A$100 = R2) * (D$2:D$100 = S2))))</f>
        <v>The Netherlands, New Zealand, Norway, Sweden, UK, USA</v>
      </c>
      <c r="X2" s="51" t="str" cm="1">
        <f t="array" ref="X2">_xlfn.TEXTJOIN(", ", TRUE, _xlfn.UNIQUE(IF((A$2:A$100 = R2) * (D$2:D$100 = S2), L$2:L$100, "")))</f>
        <v>(Draborg &amp; Andersen, 2006)</v>
      </c>
      <c r="Y2" s="51" t="str">
        <f>IF(OR(S2="OR", S2="RRR"), "OR / RRR", S2)</f>
        <v>OR / RRR</v>
      </c>
      <c r="AB2" s="44" t="str">
        <f>R2</f>
        <v>vs Canada</v>
      </c>
      <c r="AC2" s="46" t="s">
        <v>884</v>
      </c>
      <c r="AD2" s="51" t="str">
        <f>IF(AE2=AF2, IF(AE2=0, "NO DATA", ROUND(AE2, 2)), ROUND(AE2, 2) &amp; "-" &amp; ROUND(AF2, 2))</f>
        <v>0,82-43,35</v>
      </c>
      <c r="AE2" s="200">
        <f>_xlfn.MINIFS(U:U, R:R, AB2, Y:Y, AC2)</f>
        <v>0.82</v>
      </c>
      <c r="AF2" s="46">
        <f>_xlfn.MAXIFS(V:V, R:R, AB2, Y:Y, AC2)</f>
        <v>43.35</v>
      </c>
      <c r="AG2" s="51" t="str" cm="1">
        <f t="array" ref="AG2">_xlfn.TEXTJOIN(", ", TRUE, _xlfn.UNIQUE(IF((R$2:R$100 = AB2) * (Y$2:Y$100 = AC2), W$2:W$100, "")))</f>
        <v>The Netherlands, New Zealand, Norway, Sweden, UK, USA</v>
      </c>
      <c r="AH2" s="51" t="str" cm="1">
        <f t="array" ref="AH2">_xlfn.TEXTJOIN(", ", TRUE, _xlfn.UNIQUE(IF((R$2:R$100 = AB2) * (Y$2:Y$100 = AC2), X$2:X$100, "")))</f>
        <v>(Draborg &amp; Andersen, 2006)</v>
      </c>
      <c r="AK2" s="51" t="s">
        <v>882</v>
      </c>
      <c r="AL2" s="44" t="str">
        <f>AB2</f>
        <v>vs Canada</v>
      </c>
      <c r="AM2" s="51" t="s">
        <v>879</v>
      </c>
      <c r="AN2" s="51" t="str">
        <f>IF(AO2=AP2, IF(AO2=0, "NO DATA", ROUND(AO2, 2)), ROUND(AO2, 2) &amp; "-" &amp; ROUND(AP2, 2))</f>
        <v>5,68-43,35</v>
      </c>
      <c r="AO2" s="199">
        <f>_xlfn.MINIFS(E:E, A:A, AL2, D:D, AM2, J:J, "&lt;=0,050")</f>
        <v>5.68</v>
      </c>
      <c r="AP2" s="199">
        <f>_xlfn.MAXIFS(E:E, A:A, AL2, D:D, AM2, J:J, "&lt;=0,050")</f>
        <v>43.35</v>
      </c>
      <c r="AQ2" s="51" t="str" cm="1">
        <f t="array" ref="AQ2">_xlfn.TEXTJOIN(", ", TRUE, _xlfn.UNIQUE(_xlfn._xlws.FILTER(K$2:K$100, (A$2:A$100 = AL2) * (D$2:D$100 = AM2) * ((J$2:J$100 &lt;= 0.05)))))</f>
        <v>The Netherlands, New Zealand, Norway, Sweden, UK, USA</v>
      </c>
      <c r="AR2" s="51" t="str" cm="1">
        <f t="array" ref="AR2">_xlfn.TEXTJOIN(", ", TRUE, _xlfn.UNIQUE(IF((A$2:A$100 = AL2) * (D$2:D$100 = AM2) * ((J$2:J$100 &lt;= 0.05)), L$2:L$100, "")))</f>
        <v>(Draborg &amp; Andersen, 2006)</v>
      </c>
      <c r="AS2" s="51" t="str">
        <f>IF(OR(AM2="OR", AM2="RRR"), "OR / RRR", AM2)</f>
        <v>OR / RRR</v>
      </c>
      <c r="AT2" s="1"/>
      <c r="AV2" s="44" t="str">
        <f>AL2</f>
        <v>vs Canada</v>
      </c>
      <c r="AW2" s="46" t="s">
        <v>884</v>
      </c>
      <c r="AX2" s="194" t="str">
        <f>IF(AY2=AZ2, IF(AY2=0, "NO DATA", ROUND(AY2, 2)), ROUND(AY2, 2) &amp; "-" &amp; ROUND(AZ2, 2))</f>
        <v>5,68-43,35</v>
      </c>
      <c r="AY2" s="200">
        <f>_xlfn.MINIFS(AO:AO, AL:AL, AV2, AS:AS, AW2)</f>
        <v>5.68</v>
      </c>
      <c r="AZ2" s="46">
        <f>_xlfn.MAXIFS(AP:AP, AL:AL, AV2, AS:AS, AW2)</f>
        <v>43.35</v>
      </c>
      <c r="BA2" s="51" t="str" cm="1">
        <f t="array" ref="BA2">_xlfn.TEXTJOIN(", ", TRUE, _xlfn.UNIQUE(IF((AL$2:AL$100 = AV2) * (AS$2:AS$100 = AW2), AQ$2:AQ$100, "")))</f>
        <v>The Netherlands, New Zealand, Norway, Sweden, UK, USA</v>
      </c>
      <c r="BB2" s="51" t="str" cm="1">
        <f t="array" ref="BB2">_xlfn.TEXTJOIN(", ", TRUE, _xlfn.UNIQUE(IF((AL$2:AL$100 = AV2) * (AS$2:AS$100 = AW2), AR$2:AR$100, "")))</f>
        <v>(Draborg &amp; Andersen, 2006)</v>
      </c>
    </row>
    <row r="3" spans="1:54" ht="123" customHeight="1">
      <c r="A3" s="106" t="s">
        <v>923</v>
      </c>
      <c r="B3" s="125" t="s">
        <v>897</v>
      </c>
      <c r="C3" s="100" t="s">
        <v>924</v>
      </c>
      <c r="D3" s="93" t="s">
        <v>879</v>
      </c>
      <c r="E3" s="95">
        <v>0.82</v>
      </c>
      <c r="F3" s="95">
        <v>0.23</v>
      </c>
      <c r="G3" s="95">
        <v>2.93</v>
      </c>
      <c r="H3" s="95"/>
      <c r="I3" s="95"/>
      <c r="J3" s="100" t="s">
        <v>886</v>
      </c>
      <c r="K3" s="100" t="s">
        <v>911</v>
      </c>
      <c r="L3" s="105" t="s">
        <v>912</v>
      </c>
      <c r="R3" s="51" t="str">
        <f>A11</f>
        <v>vs NICE</v>
      </c>
      <c r="S3" s="51" t="s">
        <v>891</v>
      </c>
      <c r="T3" s="51" t="str">
        <f>ROUND(U3, 2) &amp; "-" &amp; ROUND(V3, 2)</f>
        <v>0,08-35,49</v>
      </c>
      <c r="U3" s="199">
        <f>_xlfn.MINIFS(E:E, A:A, R3, D:D, S3)</f>
        <v>8.2000000000000003E-2</v>
      </c>
      <c r="V3" s="199">
        <f>_xlfn.MAXIFS(E:E, A:A, R3, D:D, S3)</f>
        <v>35.49</v>
      </c>
      <c r="W3" s="51" t="str" cm="1">
        <f t="array" ref="W3">_xlfn.TEXTJOIN(", ", TRUE, _xlfn.UNIQUE(_xlfn._xlws.FILTER(K$2:K$100, (A$2:A$100 = R3) * (D$2:D$100 = S3))))</f>
        <v>Australia, England, Canada-(CADTH), England, France-(HAS), England, Sweden, England, Scotland, England, Germany, England</v>
      </c>
      <c r="X3" s="51" t="str" cm="1">
        <f t="array" ref="X3">_xlfn.TEXTJOIN(", ", TRUE, _xlfn.UNIQUE(IF((A$2:A$100 = R3) * (D$2:D$100 = S3), L$2:L$100, "")))</f>
        <v>(Kanavos et al., 2023)</v>
      </c>
      <c r="Y3" s="51" t="str">
        <f>IF(OR(S3="OR", S3="RRR"), "OR / RRR", S3)</f>
        <v>OR / RRR</v>
      </c>
      <c r="AB3" s="51" t="str">
        <f>R3</f>
        <v>vs NICE</v>
      </c>
      <c r="AC3" s="46" t="s">
        <v>884</v>
      </c>
      <c r="AD3" s="51" t="str">
        <f t="shared" ref="AD3" si="0">IF(AE3=AF3, IF(AE3=0, "NO DATA", ROUND(AE3, 2)), ROUND(AE3, 2) &amp; "-" &amp; ROUND(AF3, 2))</f>
        <v>0,08-35,49</v>
      </c>
      <c r="AE3" s="200">
        <f t="shared" ref="AE3" si="1">_xlfn.MINIFS(U:U, R:R, AB3, Y:Y, AC3)</f>
        <v>8.2000000000000003E-2</v>
      </c>
      <c r="AF3" s="46">
        <f t="shared" ref="AF3" si="2">_xlfn.MAXIFS(V:V, R:R, AB3, Y:Y, AC3)</f>
        <v>35.49</v>
      </c>
      <c r="AG3" s="51" t="str" cm="1">
        <f t="array" ref="AG3">_xlfn.TEXTJOIN(", ", TRUE, _xlfn.UNIQUE(IF((R$2:R$100 = AB3) * (Y$2:Y$100 = AC3), W$2:W$100, "")))</f>
        <v>Australia, England, Canada-(CADTH), England, France-(HAS), England, Sweden, England, Scotland, England, Germany, England</v>
      </c>
      <c r="AH3" s="51" t="str" cm="1">
        <f t="array" ref="AH3">_xlfn.TEXTJOIN(", ", TRUE, _xlfn.UNIQUE(IF((R$2:R$100 = AB3) * (Y$2:Y$100 = AC3), X$2:X$100, "")))</f>
        <v>(Kanavos et al., 2023)</v>
      </c>
      <c r="AL3" s="51" t="str">
        <f>AB3</f>
        <v>vs NICE</v>
      </c>
      <c r="AM3" s="51" t="str">
        <f>S3</f>
        <v>RRR</v>
      </c>
      <c r="AN3" s="51" t="str">
        <f>IF(AO3=AP3, IF(AO3=0, "NO DATA", ROUND(AO3, 2)), ROUND(AO3, 2) &amp; "-" &amp; ROUND(AP3, 2))</f>
        <v>0,08-35,49</v>
      </c>
      <c r="AO3" s="199">
        <f>_xlfn.MINIFS(E:E, A:A, AL3, D:D, AM3, J:J, "&lt;=0,050")</f>
        <v>8.2000000000000003E-2</v>
      </c>
      <c r="AP3" s="199">
        <f>_xlfn.MAXIFS(E:E, A:A, AL3, D:D, AM3, J:J, "&lt;=0,050")</f>
        <v>35.49</v>
      </c>
      <c r="AQ3" s="51" t="str" cm="1">
        <f t="array" ref="AQ3">_xlfn.TEXTJOIN(", ", TRUE, _xlfn.UNIQUE(_xlfn._xlws.FILTER(K$2:K$100, (A$2:A$100 = AL3) * (D$2:D$100 = AM3) * ((J$2:J$100 &lt;= 0.05)))))</f>
        <v>Australia, England, Canada-(CADTH), England, France-(HAS), England, Scotland, England, Germany, England</v>
      </c>
      <c r="AR3" s="51" t="str" cm="1">
        <f t="array" ref="AR3">_xlfn.TEXTJOIN(", ", TRUE, _xlfn.UNIQUE(IF((A$2:A$100 = AL3) * (D$2:D$100 = AM3) * ((J$2:J$100 &lt;= 0.05)), L$2:L$100, "")))</f>
        <v>(Kanavos et al., 2023)</v>
      </c>
      <c r="AS3" s="51" t="str">
        <f>IF(OR(AM3="OR", AM3="RRR"), "OR / RRR", AM3)</f>
        <v>OR / RRR</v>
      </c>
      <c r="AV3" s="51" t="str">
        <f>AL3</f>
        <v>vs NICE</v>
      </c>
      <c r="AW3" s="46" t="s">
        <v>884</v>
      </c>
      <c r="AX3" s="194" t="str">
        <f t="shared" ref="AX3" si="3">IF(AY3=AZ3, IF(AY3=0, "NO DATA", ROUND(AY3, 2)), ROUND(AY3, 2) &amp; "-" &amp; ROUND(AZ3, 2))</f>
        <v>0,08-35,49</v>
      </c>
      <c r="AY3" s="200">
        <f t="shared" ref="AY3" si="4">_xlfn.MINIFS(AO:AO, AL:AL, AV3, AS:AS, AW3)</f>
        <v>8.2000000000000003E-2</v>
      </c>
      <c r="AZ3" s="46">
        <f t="shared" ref="AZ3" si="5">_xlfn.MAXIFS(AP:AP, AL:AL, AV3, AS:AS, AW3)</f>
        <v>35.49</v>
      </c>
      <c r="BA3" s="51" t="str" cm="1">
        <f t="array" ref="BA3">_xlfn.UNIQUE(_xlfn.TEXTJOIN(", ", TRUE, _xlfn.UNIQUE(IF((AL$2:AL$100 = AV3) * (AS$2:AS$100 = AW3), AQ$2:AQ$100, ""))))</f>
        <v>Australia, England, Canada-(CADTH), England, France-(HAS), England, Scotland, England, Germany, England</v>
      </c>
      <c r="BB3" s="51" t="str" cm="1">
        <f t="array" ref="BB3">_xlfn.TEXTJOIN(", ", TRUE, _xlfn.UNIQUE(IF((AL$2:AL$100 = AV3) * (AS$2:AS$100 = AW3), AR$2:AR$100, "")))</f>
        <v>(Kanavos et al., 2023)</v>
      </c>
    </row>
    <row r="4" spans="1:54" ht="45">
      <c r="A4" s="106" t="s">
        <v>923</v>
      </c>
      <c r="B4" s="125" t="s">
        <v>897</v>
      </c>
      <c r="C4" s="100" t="s">
        <v>925</v>
      </c>
      <c r="D4" s="93" t="s">
        <v>879</v>
      </c>
      <c r="E4" s="95">
        <v>1.5</v>
      </c>
      <c r="F4" s="95">
        <v>0.28000000000000003</v>
      </c>
      <c r="G4" s="95">
        <v>8.1300000000000008</v>
      </c>
      <c r="H4" s="95"/>
      <c r="I4" s="95"/>
      <c r="J4" s="100" t="s">
        <v>886</v>
      </c>
      <c r="K4" s="100" t="s">
        <v>911</v>
      </c>
      <c r="L4" s="105" t="s">
        <v>912</v>
      </c>
      <c r="AB4" s="202"/>
      <c r="AC4" s="203"/>
      <c r="AD4" s="202"/>
      <c r="AE4" s="204"/>
      <c r="AF4" s="203"/>
      <c r="AG4" s="202"/>
      <c r="AH4" s="202"/>
    </row>
    <row r="5" spans="1:54" ht="45">
      <c r="A5" s="106" t="s">
        <v>923</v>
      </c>
      <c r="B5" s="125" t="s">
        <v>897</v>
      </c>
      <c r="C5" s="100" t="s">
        <v>926</v>
      </c>
      <c r="D5" s="93" t="s">
        <v>879</v>
      </c>
      <c r="E5" s="95">
        <v>5.88</v>
      </c>
      <c r="F5" s="95">
        <v>1.51</v>
      </c>
      <c r="G5" s="95">
        <v>22.81</v>
      </c>
      <c r="H5" s="95"/>
      <c r="I5" s="95"/>
      <c r="J5" s="100">
        <v>0.05</v>
      </c>
      <c r="K5" s="100" t="s">
        <v>911</v>
      </c>
      <c r="L5" s="105" t="s">
        <v>912</v>
      </c>
      <c r="AB5" s="202"/>
      <c r="AC5" s="203"/>
      <c r="AD5" s="202"/>
      <c r="AE5" s="204"/>
      <c r="AF5" s="203"/>
      <c r="AG5" s="202"/>
      <c r="AH5" s="202"/>
    </row>
    <row r="6" spans="1:54" ht="45">
      <c r="A6" s="106" t="s">
        <v>923</v>
      </c>
      <c r="B6" s="125" t="s">
        <v>897</v>
      </c>
      <c r="C6" s="100" t="s">
        <v>927</v>
      </c>
      <c r="D6" s="93" t="s">
        <v>879</v>
      </c>
      <c r="E6" s="95">
        <v>7.71</v>
      </c>
      <c r="F6" s="95">
        <v>1.79</v>
      </c>
      <c r="G6" s="95">
        <v>33.31</v>
      </c>
      <c r="H6" s="95"/>
      <c r="I6" s="95"/>
      <c r="J6" s="100">
        <v>0.05</v>
      </c>
      <c r="K6" s="100" t="s">
        <v>911</v>
      </c>
      <c r="L6" s="105" t="s">
        <v>912</v>
      </c>
      <c r="AB6" s="202"/>
      <c r="AC6" s="202"/>
      <c r="AD6" s="202"/>
      <c r="AE6" s="204"/>
      <c r="AF6" s="203"/>
      <c r="AG6" s="202"/>
      <c r="AH6" s="202"/>
    </row>
    <row r="7" spans="1:54" ht="45">
      <c r="A7" s="106" t="s">
        <v>923</v>
      </c>
      <c r="B7" s="125" t="s">
        <v>897</v>
      </c>
      <c r="C7" s="100" t="s">
        <v>928</v>
      </c>
      <c r="D7" s="93" t="s">
        <v>879</v>
      </c>
      <c r="E7" s="95">
        <v>5.68</v>
      </c>
      <c r="F7" s="95">
        <v>1.88</v>
      </c>
      <c r="G7" s="95">
        <v>17.13</v>
      </c>
      <c r="H7" s="95"/>
      <c r="I7" s="95"/>
      <c r="J7" s="100">
        <v>0.05</v>
      </c>
      <c r="K7" s="100" t="s">
        <v>911</v>
      </c>
      <c r="L7" s="92" t="s">
        <v>912</v>
      </c>
      <c r="AB7" s="202"/>
      <c r="AC7" s="203"/>
      <c r="AD7" s="202"/>
      <c r="AE7" s="204"/>
      <c r="AF7" s="203"/>
      <c r="AG7" s="202"/>
      <c r="AH7" s="202"/>
    </row>
    <row r="8" spans="1:54" ht="45">
      <c r="A8" s="106" t="s">
        <v>923</v>
      </c>
      <c r="B8" s="125" t="s">
        <v>897</v>
      </c>
      <c r="C8" s="100" t="s">
        <v>929</v>
      </c>
      <c r="D8" s="93" t="s">
        <v>879</v>
      </c>
      <c r="E8" s="95">
        <v>15.61</v>
      </c>
      <c r="F8" s="95">
        <v>3.87</v>
      </c>
      <c r="G8" s="95">
        <v>62.94</v>
      </c>
      <c r="H8" s="95"/>
      <c r="I8" s="95"/>
      <c r="J8" s="100">
        <v>0.05</v>
      </c>
      <c r="K8" s="100" t="s">
        <v>911</v>
      </c>
      <c r="L8" s="105" t="s">
        <v>912</v>
      </c>
      <c r="AB8" s="202"/>
      <c r="AC8" s="203"/>
      <c r="AD8" s="202"/>
      <c r="AE8" s="204"/>
      <c r="AF8" s="203"/>
      <c r="AG8" s="202"/>
      <c r="AH8" s="202"/>
    </row>
    <row r="9" spans="1:54" ht="45">
      <c r="A9" s="106" t="s">
        <v>923</v>
      </c>
      <c r="B9" s="125" t="s">
        <v>897</v>
      </c>
      <c r="C9" s="100" t="s">
        <v>930</v>
      </c>
      <c r="D9" s="93" t="s">
        <v>879</v>
      </c>
      <c r="E9" s="95">
        <v>22.83</v>
      </c>
      <c r="F9" s="95">
        <v>8.07</v>
      </c>
      <c r="G9" s="95">
        <v>64.540000000000006</v>
      </c>
      <c r="H9" s="95"/>
      <c r="I9" s="95"/>
      <c r="J9" s="100">
        <v>0.05</v>
      </c>
      <c r="K9" s="100" t="s">
        <v>911</v>
      </c>
      <c r="L9" s="105" t="s">
        <v>912</v>
      </c>
      <c r="AB9" s="202"/>
      <c r="AC9" s="203"/>
      <c r="AD9" s="202"/>
      <c r="AE9" s="204"/>
      <c r="AF9" s="203"/>
      <c r="AG9" s="202"/>
      <c r="AH9" s="202"/>
    </row>
    <row r="10" spans="1:54" ht="45">
      <c r="A10" s="106" t="s">
        <v>923</v>
      </c>
      <c r="B10" s="125" t="s">
        <v>897</v>
      </c>
      <c r="C10" s="100" t="s">
        <v>931</v>
      </c>
      <c r="D10" s="93" t="s">
        <v>879</v>
      </c>
      <c r="E10" s="95">
        <v>43.35</v>
      </c>
      <c r="F10" s="95">
        <v>13</v>
      </c>
      <c r="G10" s="95">
        <v>144.53</v>
      </c>
      <c r="H10" s="95"/>
      <c r="I10" s="95"/>
      <c r="J10" s="100">
        <v>0.05</v>
      </c>
      <c r="K10" s="100" t="s">
        <v>911</v>
      </c>
      <c r="L10" s="105" t="s">
        <v>912</v>
      </c>
    </row>
    <row r="11" spans="1:54" ht="30">
      <c r="A11" s="106" t="s">
        <v>932</v>
      </c>
      <c r="B11" s="106" t="s">
        <v>878</v>
      </c>
      <c r="C11" s="96" t="s">
        <v>933</v>
      </c>
      <c r="D11" s="93" t="s">
        <v>891</v>
      </c>
      <c r="E11" s="95">
        <f>0.082</f>
        <v>8.2000000000000003E-2</v>
      </c>
      <c r="F11" s="95"/>
      <c r="G11" s="95"/>
      <c r="H11" s="95">
        <v>5.0999999999999997E-2</v>
      </c>
      <c r="I11" s="95"/>
      <c r="J11" s="96">
        <v>0.05</v>
      </c>
      <c r="K11" s="96" t="s">
        <v>934</v>
      </c>
      <c r="L11" s="92" t="s">
        <v>893</v>
      </c>
    </row>
    <row r="12" spans="1:54" ht="45">
      <c r="A12" s="106" t="s">
        <v>932</v>
      </c>
      <c r="B12" s="106" t="s">
        <v>878</v>
      </c>
      <c r="C12" s="96" t="s">
        <v>935</v>
      </c>
      <c r="D12" s="93" t="s">
        <v>891</v>
      </c>
      <c r="E12" s="95">
        <f>0.248</f>
        <v>0.248</v>
      </c>
      <c r="F12" s="95"/>
      <c r="G12" s="95"/>
      <c r="H12" s="95">
        <v>6.9000000000000006E-2</v>
      </c>
      <c r="I12" s="95"/>
      <c r="J12" s="96">
        <v>0.01</v>
      </c>
      <c r="K12" s="96" t="s">
        <v>936</v>
      </c>
      <c r="L12" s="92" t="s">
        <v>893</v>
      </c>
    </row>
    <row r="13" spans="1:54" ht="45">
      <c r="A13" s="106" t="s">
        <v>932</v>
      </c>
      <c r="B13" s="106" t="s">
        <v>878</v>
      </c>
      <c r="C13" s="96" t="s">
        <v>937</v>
      </c>
      <c r="D13" s="93" t="s">
        <v>891</v>
      </c>
      <c r="E13" s="95">
        <v>7.7320000000000002</v>
      </c>
      <c r="F13" s="95"/>
      <c r="G13" s="95"/>
      <c r="H13" s="95">
        <v>3.5670000000000002</v>
      </c>
      <c r="I13" s="95"/>
      <c r="J13" s="96">
        <v>0.01</v>
      </c>
      <c r="K13" s="96" t="s">
        <v>938</v>
      </c>
      <c r="L13" s="92" t="s">
        <v>893</v>
      </c>
    </row>
    <row r="14" spans="1:54" ht="30">
      <c r="A14" s="106" t="s">
        <v>932</v>
      </c>
      <c r="B14" s="106" t="s">
        <v>878</v>
      </c>
      <c r="C14" s="96" t="s">
        <v>939</v>
      </c>
      <c r="D14" s="93" t="s">
        <v>891</v>
      </c>
      <c r="E14" s="95">
        <f>2.45</f>
        <v>2.4500000000000002</v>
      </c>
      <c r="F14" s="95"/>
      <c r="G14" s="95"/>
      <c r="H14" s="95">
        <v>1.137</v>
      </c>
      <c r="I14" s="95"/>
      <c r="J14" s="96">
        <v>0.1</v>
      </c>
      <c r="K14" s="96" t="s">
        <v>940</v>
      </c>
      <c r="L14" s="92" t="s">
        <v>893</v>
      </c>
    </row>
    <row r="15" spans="1:54" ht="30">
      <c r="A15" s="106" t="s">
        <v>932</v>
      </c>
      <c r="B15" s="106" t="s">
        <v>878</v>
      </c>
      <c r="C15" s="96" t="s">
        <v>941</v>
      </c>
      <c r="D15" s="93" t="s">
        <v>891</v>
      </c>
      <c r="E15" s="95">
        <f>3.308</f>
        <v>3.3079999999999998</v>
      </c>
      <c r="F15" s="95"/>
      <c r="G15" s="95"/>
      <c r="H15" s="95">
        <v>0.52900000000000003</v>
      </c>
      <c r="I15" s="95"/>
      <c r="J15" s="96">
        <v>0.01</v>
      </c>
      <c r="K15" s="96" t="s">
        <v>942</v>
      </c>
      <c r="L15" s="92" t="s">
        <v>893</v>
      </c>
    </row>
    <row r="16" spans="1:54" ht="30">
      <c r="A16" s="106" t="s">
        <v>932</v>
      </c>
      <c r="B16" s="106" t="s">
        <v>878</v>
      </c>
      <c r="C16" s="96" t="s">
        <v>943</v>
      </c>
      <c r="D16" s="93" t="s">
        <v>891</v>
      </c>
      <c r="E16" s="95">
        <v>35.49</v>
      </c>
      <c r="F16" s="95"/>
      <c r="G16" s="95"/>
      <c r="H16" s="95">
        <v>28.5</v>
      </c>
      <c r="I16" s="95"/>
      <c r="J16" s="96">
        <v>0.01</v>
      </c>
      <c r="K16" s="96" t="s">
        <v>233</v>
      </c>
      <c r="L16" s="92" t="s">
        <v>893</v>
      </c>
    </row>
    <row r="17" spans="1:12" ht="45">
      <c r="A17" s="106" t="s">
        <v>932</v>
      </c>
      <c r="B17" s="106" t="s">
        <v>878</v>
      </c>
      <c r="C17" s="96" t="s">
        <v>944</v>
      </c>
      <c r="D17" s="93" t="s">
        <v>891</v>
      </c>
      <c r="E17" s="95">
        <v>0.219</v>
      </c>
      <c r="F17" s="95"/>
      <c r="G17" s="95"/>
      <c r="H17" s="95">
        <v>2.3E-2</v>
      </c>
      <c r="I17" s="95"/>
      <c r="J17" s="96">
        <v>0.01</v>
      </c>
      <c r="K17" s="96" t="s">
        <v>936</v>
      </c>
      <c r="L17" s="92" t="s">
        <v>893</v>
      </c>
    </row>
  </sheetData>
  <sortState xmlns:xlrd2="http://schemas.microsoft.com/office/spreadsheetml/2017/richdata2" ref="A2:L16">
    <sortCondition ref="A2:A16"/>
    <sortCondition ref="D2:D16"/>
    <sortCondition ref="E2:E1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40F9F-790F-47F2-B356-41B816E7F053}">
  <sheetPr codeName="Sheet6"/>
  <dimension ref="A1:BG109"/>
  <sheetViews>
    <sheetView tabSelected="1" topLeftCell="A75" workbookViewId="0">
      <selection activeCell="E82" sqref="E82"/>
    </sheetView>
  </sheetViews>
  <sheetFormatPr defaultRowHeight="15"/>
  <cols>
    <col min="1" max="1" width="26" style="8" customWidth="1"/>
    <col min="2" max="2" width="27.42578125" style="8" customWidth="1"/>
    <col min="3" max="3" width="18.28515625" customWidth="1"/>
    <col min="5" max="5" width="19.85546875" customWidth="1"/>
    <col min="11" max="11" width="10.42578125" customWidth="1"/>
    <col min="12" max="12" width="19" style="8" customWidth="1"/>
    <col min="17" max="17" width="12.42578125" customWidth="1"/>
    <col min="18" max="18" width="24.42578125" customWidth="1"/>
    <col min="19" max="19" width="15.140625" customWidth="1"/>
    <col min="20" max="22" width="22.28515625" customWidth="1"/>
    <col min="23" max="23" width="14" customWidth="1"/>
    <col min="24" max="24" width="24.5703125" customWidth="1"/>
    <col min="28" max="28" width="18.28515625" customWidth="1"/>
    <col min="29" max="29" width="23.140625" customWidth="1"/>
    <col min="31" max="33" width="14.28515625" customWidth="1"/>
    <col min="34" max="34" width="21" customWidth="1"/>
    <col min="35" max="35" width="24.42578125" customWidth="1"/>
    <col min="38" max="38" width="22.7109375" customWidth="1"/>
    <col min="39" max="39" width="15.7109375" customWidth="1"/>
    <col min="40" max="40" width="14" customWidth="1"/>
    <col min="41" max="41" width="18.7109375" customWidth="1"/>
    <col min="44" max="44" width="11.5703125" customWidth="1"/>
    <col min="45" max="45" width="12.5703125" customWidth="1"/>
    <col min="54" max="54" width="30.7109375" style="6" customWidth="1"/>
    <col min="55" max="55" width="22.7109375" style="6" customWidth="1"/>
    <col min="56" max="56" width="9.140625" style="6"/>
    <col min="58" max="58" width="13.5703125" style="6" customWidth="1"/>
    <col min="59" max="59" width="9.140625" style="6"/>
  </cols>
  <sheetData>
    <row r="1" spans="1:59" ht="60">
      <c r="A1" s="194" t="s">
        <v>857</v>
      </c>
      <c r="B1" s="194" t="s">
        <v>858</v>
      </c>
      <c r="C1" s="194" t="s">
        <v>859</v>
      </c>
      <c r="D1" s="194" t="s">
        <v>860</v>
      </c>
      <c r="E1" s="194" t="s">
        <v>861</v>
      </c>
      <c r="F1" s="194" t="s">
        <v>862</v>
      </c>
      <c r="G1" s="194" t="s">
        <v>863</v>
      </c>
      <c r="H1" s="194" t="s">
        <v>864</v>
      </c>
      <c r="I1" s="194" t="s">
        <v>865</v>
      </c>
      <c r="J1" s="194" t="s">
        <v>945</v>
      </c>
      <c r="K1" s="194" t="s">
        <v>867</v>
      </c>
      <c r="L1" s="194" t="s">
        <v>868</v>
      </c>
      <c r="Q1" s="50" t="s">
        <v>946</v>
      </c>
      <c r="R1" s="49" t="s">
        <v>859</v>
      </c>
      <c r="S1" s="49" t="s">
        <v>860</v>
      </c>
      <c r="T1" s="49" t="s">
        <v>870</v>
      </c>
      <c r="U1" s="49" t="s">
        <v>871</v>
      </c>
      <c r="V1" s="49" t="s">
        <v>872</v>
      </c>
      <c r="W1" s="49" t="s">
        <v>867</v>
      </c>
      <c r="X1" s="49" t="s">
        <v>873</v>
      </c>
      <c r="AB1" s="50" t="s">
        <v>876</v>
      </c>
      <c r="AC1" s="49" t="s">
        <v>859</v>
      </c>
      <c r="AD1" s="49" t="s">
        <v>860</v>
      </c>
      <c r="AE1" s="49" t="s">
        <v>870</v>
      </c>
      <c r="AF1" s="49" t="s">
        <v>871</v>
      </c>
      <c r="AG1" s="49" t="s">
        <v>872</v>
      </c>
      <c r="AH1" s="49" t="s">
        <v>867</v>
      </c>
      <c r="AI1" s="49" t="s">
        <v>873</v>
      </c>
      <c r="AJ1" s="49" t="s">
        <v>874</v>
      </c>
      <c r="AL1" s="201" t="s">
        <v>922</v>
      </c>
      <c r="AM1" s="49" t="s">
        <v>859</v>
      </c>
      <c r="AN1" s="49" t="s">
        <v>860</v>
      </c>
      <c r="AO1" s="49" t="s">
        <v>870</v>
      </c>
      <c r="AP1" s="49" t="s">
        <v>871</v>
      </c>
      <c r="AQ1" s="49" t="s">
        <v>872</v>
      </c>
      <c r="AR1" s="49" t="s">
        <v>867</v>
      </c>
      <c r="AS1" s="49" t="s">
        <v>873</v>
      </c>
      <c r="BB1" s="6" t="str" cm="1">
        <f t="array" ref="BB1:BB24">_xlfn.UNIQUE(A2:A100)</f>
        <v>Cardiovascular Diseases</v>
      </c>
      <c r="BC1" s="6" t="str" cm="1">
        <f t="array" ref="BC1">INDEX($BB$1:$BB$100,INT((ROW(A1)-1)/3)+1)</f>
        <v>Cardiovascular Diseases</v>
      </c>
      <c r="BD1" s="6" t="str" cm="1">
        <f t="array" ref="BD1">INDEX({"OR","RRR","ME"},MOD(ROW(AJ1)-1,3)+1)</f>
        <v>OR</v>
      </c>
      <c r="BF1" s="1" t="str" cm="1">
        <f t="array" ref="BF1">INDEX($BB$1:$BB$100,INT((ROW(A1)-1)/2)+1)</f>
        <v>Cardiovascular Diseases</v>
      </c>
      <c r="BG1" s="6" t="str" cm="1">
        <f t="array" ref="BG1">INDEX({"OR / RRR";"ME"}, MOD(ROW(AJ1)-1, 2)+1)</f>
        <v>OR / RRR</v>
      </c>
    </row>
    <row r="2" spans="1:59" ht="45">
      <c r="A2" s="110" t="s">
        <v>947</v>
      </c>
      <c r="B2" s="110" t="s">
        <v>878</v>
      </c>
      <c r="C2" s="96" t="s">
        <v>948</v>
      </c>
      <c r="D2" s="93" t="s">
        <v>879</v>
      </c>
      <c r="E2" s="95">
        <v>0.83699999999999997</v>
      </c>
      <c r="F2" s="95">
        <v>0.29099999999999998</v>
      </c>
      <c r="G2" s="95">
        <v>2.4009999999999998</v>
      </c>
      <c r="H2" s="95"/>
      <c r="I2" s="95"/>
      <c r="J2" s="96" t="s">
        <v>886</v>
      </c>
      <c r="K2" s="96" t="s">
        <v>840</v>
      </c>
      <c r="L2" s="92" t="s">
        <v>889</v>
      </c>
      <c r="R2" s="44" t="str">
        <f t="shared" ref="R2:R33" si="0">BC1</f>
        <v>Cardiovascular Diseases</v>
      </c>
      <c r="S2" s="51" t="str">
        <f t="shared" ref="S2:S33" si="1">BD1</f>
        <v>OR</v>
      </c>
      <c r="T2" s="51">
        <f>IF(U2=V2, IF(U2=0, "NO DATA", ROUND(U2, 2)), ROUND(U2, 2) &amp; "-" &amp; ROUND(V2, 2))</f>
        <v>0.84</v>
      </c>
      <c r="U2" s="199">
        <f>_xlfn.MINIFS(E:E, A:A, R2, D:D, S2)</f>
        <v>0.83699999999999997</v>
      </c>
      <c r="V2" s="199">
        <f>_xlfn.MAXIFS(E:E, A:A, R2, D:D, S2)</f>
        <v>0.83699999999999997</v>
      </c>
      <c r="W2" s="51" t="str" cm="1">
        <f t="array" ref="W2">_xlfn.TEXTJOIN(", ", TRUE, _xlfn.UNIQUE(_xlfn._xlws.FILTER(K$2:K$100, (A$2:A$100 = R2) * (D$2:D$100 = S2))))</f>
        <v>UK</v>
      </c>
      <c r="X2" s="51" t="str" cm="1">
        <f t="array" ref="X2">_xlfn.TEXTJOIN(", ", TRUE, _xlfn.UNIQUE(IF((A$2:A$100 = R2) * (D$2:D$100 = S2), L$2:L$100, "")))</f>
        <v>(H. Dakin, Devlin, Feng, Rice, O’Neill, et al., 2015)</v>
      </c>
      <c r="AC2" s="44" t="str">
        <f t="shared" ref="AC2:AC33" si="2">BC1</f>
        <v>Cardiovascular Diseases</v>
      </c>
      <c r="AD2" s="51" t="str">
        <f t="shared" ref="AD2:AD33" si="3">BD1</f>
        <v>OR</v>
      </c>
      <c r="AE2" s="51" t="e">
        <f>IF(AF2=AG2, IF(AF2=0, "NO DATA", ROUND(AF2, 2)), ROUND(AF2, 2) &amp; "-" &amp; ROUND(AG2, 2))</f>
        <v>#VALUE!</v>
      </c>
      <c r="AF2" s="51" t="str">
        <f>IF(_xlfn.MINIFS(E:E, A:A, R2, D:D, S2, J:J, "&lt;=0,050")=0, "NA", _xlfn.MINIFS(E:E, A:A, R2, D:D, S2, J:J, "&lt;=0,050"))</f>
        <v>NA</v>
      </c>
      <c r="AG2" s="51" t="str">
        <f>IF(_xlfn.MAXIFS(E:E, A:A, AC2, D:D, AD2, J:J, "&lt;=0,050")=0, "NA", _xlfn.MAXIFS(E:E, A:A, AC2, D:D, AD2, J:J, "&lt;=0,050"))</f>
        <v>NA</v>
      </c>
      <c r="AH2" s="51" t="str" cm="1">
        <f t="array" ref="AH2">IFERROR(_xlfn.TEXTJOIN(", ", TRUE, _xlfn.UNIQUE(_xlfn._xlws.FILTER(K$2:K$100, (A$2:A$100 = R2) * (D$2:D$100 = S2) * ((J$2:J$100 &lt;= 0.05))))), "")</f>
        <v/>
      </c>
      <c r="AI2" s="51" t="str" cm="1">
        <f t="array" ref="AI2">_xlfn.TEXTJOIN(", ", TRUE, _xlfn.UNIQUE(IF((A$2:A$100 = R2) * (D$2:D$100 = S2) * ((J$2:J$100 &lt;= 0.05)), L$2:L$100, "")))</f>
        <v/>
      </c>
      <c r="AJ2" s="51" t="str">
        <f>IF(OR(AD2="OR", AD2="RRR"), "OR / RRR", AD2)</f>
        <v>OR / RRR</v>
      </c>
      <c r="AM2" s="44" t="str">
        <f>BF1</f>
        <v>Cardiovascular Diseases</v>
      </c>
      <c r="AN2" s="46" t="str">
        <f>BG1</f>
        <v>OR / RRR</v>
      </c>
      <c r="AO2" s="194" t="str">
        <f>IF(AP2=AQ2, IF(AP2=0, "NO DATA", ROUND(AP2, 2)), ROUND(AP2, 2) &amp; "-" &amp; ROUND(AQ2, 2))</f>
        <v>NO DATA</v>
      </c>
      <c r="AP2" s="200">
        <f>_xlfn.MINIFS(AF:AF, AC:AC, AM2, AJ:AJ, AN2)</f>
        <v>0</v>
      </c>
      <c r="AQ2" s="46">
        <f>_xlfn.MAXIFS(AG:AG, AC:AC, AM2, AJ:AJ, AN2)</f>
        <v>0</v>
      </c>
      <c r="AR2" s="51" t="str" cm="1">
        <f t="array" ref="AR2">_xlfn.TEXTJOIN(", ", TRUE, _xlfn.UNIQUE(IF((AC$2:AC$100 = AM2) * (AJ$2:AJ$100 = AN2), AH$2:AH$100, "")))</f>
        <v/>
      </c>
      <c r="AS2" s="51" t="str" cm="1">
        <f t="array" ref="AS2">_xlfn.TEXTJOIN(", ", TRUE, _xlfn.UNIQUE(IF((AC$2:AC$100 = AM2) * (AJ$2:AJ$100 = AN2), AI$2:AI$100, "")))</f>
        <v/>
      </c>
      <c r="BB2" s="6" t="str">
        <v>Chronic Disease</v>
      </c>
      <c r="BC2" s="6" t="str" cm="1">
        <f t="array" ref="BC2">INDEX($BB$1:$BB$100,INT((ROW(A2)-1)/3)+1)</f>
        <v>Cardiovascular Diseases</v>
      </c>
      <c r="BD2" s="6" t="str" cm="1">
        <f t="array" ref="BD2">INDEX({"OR","RRR","ME"},MOD(ROW(AJ2)-1,3)+1)</f>
        <v>RRR</v>
      </c>
      <c r="BF2" s="1" t="str" cm="1">
        <f t="array" ref="BF2">INDEX($BB$1:$BB$100,INT((ROW(A2)-1)/2)+1)</f>
        <v>Cardiovascular Diseases</v>
      </c>
      <c r="BG2" s="6" t="str" cm="1">
        <f t="array" ref="BG2">INDEX({"OR / RRR";"ME"}, MOD(ROW(AJ2)-1, 2)+1)</f>
        <v>ME</v>
      </c>
    </row>
    <row r="3" spans="1:59" ht="64.5" customHeight="1">
      <c r="A3" s="110" t="s">
        <v>947</v>
      </c>
      <c r="B3" s="110" t="s">
        <v>949</v>
      </c>
      <c r="C3" s="96" t="s">
        <v>948</v>
      </c>
      <c r="D3" s="93" t="s">
        <v>891</v>
      </c>
      <c r="E3" s="95">
        <f>1/EXP(0.82)</f>
        <v>0.4404316545059993</v>
      </c>
      <c r="F3" s="95">
        <f>1/EXP(2.51)</f>
        <v>8.1268239240891701E-2</v>
      </c>
      <c r="G3" s="95">
        <f>1/EXP(-0.86)</f>
        <v>2.3631606937057947</v>
      </c>
      <c r="H3" s="95"/>
      <c r="I3" s="95"/>
      <c r="J3" s="96">
        <v>0.33800000000000002</v>
      </c>
      <c r="K3" s="96" t="s">
        <v>152</v>
      </c>
      <c r="L3" s="92" t="s">
        <v>950</v>
      </c>
      <c r="R3" s="44" t="str">
        <f t="shared" si="0"/>
        <v>Cardiovascular Diseases</v>
      </c>
      <c r="S3" s="51" t="str">
        <f t="shared" si="1"/>
        <v>RRR</v>
      </c>
      <c r="T3" s="51">
        <f t="shared" ref="T3:T66" si="4">IF(U3=V3, IF(U3=0, "NO DATA", ROUND(U3, 2)), ROUND(U3, 2) &amp; "-" &amp; ROUND(V3, 2))</f>
        <v>0.44</v>
      </c>
      <c r="U3" s="199">
        <f t="shared" ref="U3:U66" si="5">_xlfn.MINIFS(E:E, A:A, R3, D:D, S3)</f>
        <v>0.4404316545059993</v>
      </c>
      <c r="V3" s="199">
        <f t="shared" ref="V3:V66" si="6">_xlfn.MAXIFS(E:E, A:A, R3, D:D, S3)</f>
        <v>0.4404316545059993</v>
      </c>
      <c r="W3" s="51" t="str" cm="1">
        <f t="array" ref="W3">_xlfn.TEXTJOIN(", ", TRUE, _xlfn.UNIQUE(_xlfn._xlws.FILTER(K$2:K$100, (A$2:A$100 = R3) * (D$2:D$100 = S3))))</f>
        <v>Netherlands</v>
      </c>
      <c r="X3" s="51" t="str" cm="1">
        <f t="array" ref="X3">_xlfn.TEXTJOIN(", ", TRUE, _xlfn.UNIQUE(IF((A$2:A$100 = R3) * (D$2:D$100 = S3), L$2:L$100, "")))</f>
        <v>(Cerri, Knapp, &amp; Fernandez, 2014a)</v>
      </c>
      <c r="AC3" s="44" t="str">
        <f t="shared" si="2"/>
        <v>Cardiovascular Diseases</v>
      </c>
      <c r="AD3" s="51" t="str">
        <f t="shared" si="3"/>
        <v>RRR</v>
      </c>
      <c r="AE3" s="51" t="e">
        <f t="shared" ref="AE3:AE66" si="7">IF(AF3=AG3, IF(AF3=0, "NO DATA", ROUND(AF3, 2)), ROUND(AF3, 2) &amp; "-" &amp; ROUND(AG3, 2))</f>
        <v>#VALUE!</v>
      </c>
      <c r="AF3" s="51" t="str">
        <f t="shared" ref="AF3:AF66" si="8">IF(_xlfn.MINIFS(E:E, A:A, R3, D:D, S3, J:J, "&lt;=0,050")=0, "NA", _xlfn.MINIFS(E:E, A:A, R3, D:D, S3, J:J, "&lt;=0,050"))</f>
        <v>NA</v>
      </c>
      <c r="AG3" s="51" t="str">
        <f t="shared" ref="AG3:AG66" si="9">IF(_xlfn.MAXIFS(E:E, A:A, AC3, D:D, AD3, J:J, "&lt;=0,050")=0, "NA", _xlfn.MAXIFS(E:E, A:A, AC3, D:D, AD3, J:J, "&lt;=0,050"))</f>
        <v>NA</v>
      </c>
      <c r="AH3" s="51" t="str" cm="1">
        <f t="array" ref="AH3">IFERROR(_xlfn.TEXTJOIN(", ", TRUE, _xlfn.UNIQUE(_xlfn._xlws.FILTER(K$2:K$100, (A$2:A$100 = R3) * (D$2:D$100 = S3) * ((J$2:J$100 &lt;= 0.05))))), "")</f>
        <v/>
      </c>
      <c r="AI3" s="51" t="str" cm="1">
        <f t="array" ref="AI3">_xlfn.TEXTJOIN(", ", TRUE, _xlfn.UNIQUE(IF((A$2:A$100 = R3) * (D$2:D$100 = S3) * ((J$2:J$100 &lt;= 0.05)), L$2:L$100, "")))</f>
        <v/>
      </c>
      <c r="AJ3" s="51" t="str">
        <f>IF(OR(AD3="OR", AD3="RRR"), "OR / RRR", AD3)</f>
        <v>OR / RRR</v>
      </c>
      <c r="AK3" s="1"/>
      <c r="AM3" s="44" t="str">
        <f t="shared" ref="AM3:AM11" si="10">BF2</f>
        <v>Cardiovascular Diseases</v>
      </c>
      <c r="AN3" s="46" t="str">
        <f t="shared" ref="AN3:AN11" si="11">BG2</f>
        <v>ME</v>
      </c>
      <c r="AO3" s="194" t="str">
        <f>IF(AP3=AQ3, IF(AP3=0, "NO DATA", ROUND(AP3, 2)), ROUND(AP3, 2) &amp; "-" &amp; ROUND(AQ3, 2))</f>
        <v>NO DATA</v>
      </c>
      <c r="AP3" s="200">
        <f t="shared" ref="AP3:AP49" si="12">_xlfn.MINIFS(AF:AF, AC:AC, AM3, AJ:AJ, AN3)</f>
        <v>0</v>
      </c>
      <c r="AQ3" s="46">
        <f t="shared" ref="AQ3:AQ49" si="13">_xlfn.MAXIFS(AG:AG, AC:AC, AM3, AJ:AJ, AN3)</f>
        <v>0</v>
      </c>
      <c r="AR3" s="51" t="str" cm="1">
        <f t="array" ref="AR3">_xlfn.TEXTJOIN(", ", TRUE, _xlfn.UNIQUE(IF((AC$2:AC$100 = AM3) * (AJ$2:AJ$100 = AN3), AH$2:AH$100, "")))</f>
        <v/>
      </c>
      <c r="AS3" s="51" t="str" cm="1">
        <f t="array" ref="AS3">_xlfn.TEXTJOIN(", ", TRUE, _xlfn.UNIQUE(IF((AC$2:AC$100 = AM3) * (AJ$2:AJ$100 = AN3), AI$2:AI$100, "")))</f>
        <v/>
      </c>
      <c r="BB3" s="6" t="str">
        <v>Nervous System Diseases</v>
      </c>
      <c r="BC3" s="6" t="str" cm="1">
        <f t="array" ref="BC3">INDEX($BB$1:$BB$100,INT((ROW(A3)-1)/3)+1)</f>
        <v>Cardiovascular Diseases</v>
      </c>
      <c r="BD3" s="6" t="str" cm="1">
        <f t="array" ref="BD3">INDEX({"OR","RRR","ME"},MOD(ROW(AJ3)-1,3)+1)</f>
        <v>ME</v>
      </c>
      <c r="BF3" s="1" t="str" cm="1">
        <f t="array" ref="BF3">INDEX($BB$1:$BB$100,INT((ROW(A3)-1)/2)+1)</f>
        <v>Chronic Disease</v>
      </c>
      <c r="BG3" s="6" t="str" cm="1">
        <f t="array" ref="BG3">INDEX({"OR / RRR";"ME"}, MOD(ROW(AJ3)-1, 2)+1)</f>
        <v>OR / RRR</v>
      </c>
    </row>
    <row r="4" spans="1:59" ht="30">
      <c r="A4" s="110" t="s">
        <v>951</v>
      </c>
      <c r="B4" s="110" t="s">
        <v>878</v>
      </c>
      <c r="C4" s="100" t="s">
        <v>952</v>
      </c>
      <c r="D4" s="93" t="s">
        <v>879</v>
      </c>
      <c r="E4" s="95">
        <f>1/1.66</f>
        <v>0.60240963855421692</v>
      </c>
      <c r="F4" s="95">
        <f>1/1.03</f>
        <v>0.970873786407767</v>
      </c>
      <c r="G4" s="95">
        <f>1/2.68</f>
        <v>0.37313432835820892</v>
      </c>
      <c r="H4" s="95"/>
      <c r="I4" s="95"/>
      <c r="J4" s="100">
        <v>3.9E-2</v>
      </c>
      <c r="K4" s="100" t="s">
        <v>548</v>
      </c>
      <c r="L4" s="100" t="s">
        <v>953</v>
      </c>
      <c r="R4" s="44" t="str">
        <f t="shared" si="0"/>
        <v>Cardiovascular Diseases</v>
      </c>
      <c r="S4" s="51" t="str">
        <f t="shared" si="1"/>
        <v>ME</v>
      </c>
      <c r="T4" s="51" t="str">
        <f t="shared" si="4"/>
        <v>NO DATA</v>
      </c>
      <c r="U4" s="199">
        <f t="shared" si="5"/>
        <v>0</v>
      </c>
      <c r="V4" s="199">
        <f t="shared" si="6"/>
        <v>0</v>
      </c>
      <c r="W4" s="51" t="e" cm="1" vm="1">
        <f t="array" ref="W4">_xlfn.TEXTJOIN(", ", TRUE, _xlfn.UNIQUE(_xlfn._xlws.FILTER(K$2:K$100, (A$2:A$100 = R4) * (D$2:D$100 = S4))))</f>
        <v>#VALUE!</v>
      </c>
      <c r="X4" s="51" t="str" cm="1">
        <f t="array" ref="X4">_xlfn.TEXTJOIN(", ", TRUE, _xlfn.UNIQUE(IF((A$2:A$100 = R4) * (D$2:D$100 = S4), L$2:L$100, "")))</f>
        <v/>
      </c>
      <c r="AC4" s="44" t="str">
        <f t="shared" si="2"/>
        <v>Cardiovascular Diseases</v>
      </c>
      <c r="AD4" s="51" t="str">
        <f t="shared" si="3"/>
        <v>ME</v>
      </c>
      <c r="AE4" s="51" t="e">
        <f t="shared" si="7"/>
        <v>#VALUE!</v>
      </c>
      <c r="AF4" s="51" t="str">
        <f t="shared" si="8"/>
        <v>NA</v>
      </c>
      <c r="AG4" s="51" t="str">
        <f t="shared" si="9"/>
        <v>NA</v>
      </c>
      <c r="AH4" s="51" t="str" cm="1">
        <f t="array" ref="AH4">IFERROR(_xlfn.TEXTJOIN(", ", TRUE, _xlfn.UNIQUE(_xlfn._xlws.FILTER(K$2:K$100, (A$2:A$100 = R4) * (D$2:D$100 = S4) * ((J$2:J$100 &lt;= 0.05))))), "")</f>
        <v/>
      </c>
      <c r="AI4" s="51" t="str" cm="1">
        <f t="array" ref="AI4">_xlfn.TEXTJOIN(", ", TRUE, _xlfn.UNIQUE(IF((A$2:A$100 = R4) * (D$2:D$100 = S4) * ((J$2:J$100 &lt;= 0.05)), L$2:L$100, "")))</f>
        <v/>
      </c>
      <c r="AJ4" s="51" t="str">
        <f t="shared" ref="AJ4:AJ67" si="14">IF(OR(AD4="OR", AD4="RRR"), "OR / RRR", AD4)</f>
        <v>ME</v>
      </c>
      <c r="AM4" s="44" t="str">
        <f t="shared" si="10"/>
        <v>Chronic Disease</v>
      </c>
      <c r="AN4" s="46" t="str">
        <f t="shared" si="11"/>
        <v>OR / RRR</v>
      </c>
      <c r="AO4" s="194">
        <f t="shared" ref="AO4:AO49" si="15">IF(AP4=AQ4, IF(AP4=0, "NO DATA", ROUND(AP4, 2)), ROUND(AP4, 2) &amp; "-" &amp; ROUND(AQ4, 2))</f>
        <v>0.6</v>
      </c>
      <c r="AP4" s="200">
        <f t="shared" si="12"/>
        <v>0.60240963855421692</v>
      </c>
      <c r="AQ4" s="46">
        <f t="shared" si="13"/>
        <v>0.60240963855421692</v>
      </c>
      <c r="AR4" s="51" t="str" cm="1">
        <f t="array" ref="AR4">_xlfn.TEXTJOIN(", ", TRUE, _xlfn.UNIQUE(IF((AC$2:AC$100 = AM4) * (AJ$2:AJ$100 = AN4), AH$2:AH$100, "")))</f>
        <v>Scotland</v>
      </c>
      <c r="AS4" s="51" t="str" cm="1">
        <f t="array" ref="AS4">_xlfn.TEXTJOIN(", ", TRUE, _xlfn.UNIQUE(IF((AC$2:AC$100 = AM4) * (AJ$2:AJ$100 = AN4), AI$2:AI$100, "")))</f>
        <v>(Charokopou et al., 2015)</v>
      </c>
      <c r="BB4" s="6" t="str">
        <v>Obstetrics, gynaceology, urinary-tract Diseases</v>
      </c>
      <c r="BC4" s="6" t="str" cm="1">
        <f t="array" ref="BC4">INDEX($BB$1:$BB$100,INT((ROW(A4)-1)/3)+1)</f>
        <v>Chronic Disease</v>
      </c>
      <c r="BD4" s="6" t="str" cm="1">
        <f t="array" ref="BD4">INDEX({"OR","RRR","ME"},MOD(ROW(AJ4)-1,3)+1)</f>
        <v>OR</v>
      </c>
      <c r="BF4" s="1" t="str" cm="1">
        <f t="array" ref="BF4">INDEX($BB$1:$BB$100,INT((ROW(A4)-1)/2)+1)</f>
        <v>Chronic Disease</v>
      </c>
      <c r="BG4" s="6" t="str" cm="1">
        <f t="array" ref="BG4">INDEX({"OR / RRR";"ME"}, MOD(ROW(AJ4)-1, 2)+1)</f>
        <v>ME</v>
      </c>
    </row>
    <row r="5" spans="1:59" ht="45">
      <c r="A5" s="110" t="s">
        <v>954</v>
      </c>
      <c r="B5" s="110" t="s">
        <v>878</v>
      </c>
      <c r="C5" s="96" t="s">
        <v>955</v>
      </c>
      <c r="D5" s="93" t="s">
        <v>879</v>
      </c>
      <c r="E5" s="95">
        <v>0.41</v>
      </c>
      <c r="F5" s="95">
        <v>0.21</v>
      </c>
      <c r="G5" s="95">
        <v>0.79</v>
      </c>
      <c r="H5" s="95"/>
      <c r="I5" s="95"/>
      <c r="J5" s="96" t="s">
        <v>956</v>
      </c>
      <c r="K5" s="96" t="s">
        <v>548</v>
      </c>
      <c r="L5" s="92" t="s">
        <v>953</v>
      </c>
      <c r="R5" s="44" t="str">
        <f t="shared" si="0"/>
        <v>Chronic Disease</v>
      </c>
      <c r="S5" s="51" t="str">
        <f t="shared" si="1"/>
        <v>OR</v>
      </c>
      <c r="T5" s="51">
        <f t="shared" si="4"/>
        <v>0.6</v>
      </c>
      <c r="U5" s="199">
        <f t="shared" si="5"/>
        <v>0.60240963855421692</v>
      </c>
      <c r="V5" s="199">
        <f t="shared" si="6"/>
        <v>0.60240963855421692</v>
      </c>
      <c r="W5" s="51" t="str" cm="1">
        <f t="array" ref="W5">_xlfn.TEXTJOIN(", ", TRUE, _xlfn.UNIQUE(_xlfn._xlws.FILTER(K$2:K$100, (A$2:A$100 = R5) * (D$2:D$100 = S5))))</f>
        <v>Scotland</v>
      </c>
      <c r="X5" s="51" t="str" cm="1">
        <f t="array" ref="X5">_xlfn.TEXTJOIN(", ", TRUE, _xlfn.UNIQUE(IF((A$2:A$100 = R5) * (D$2:D$100 = S5), L$2:L$100, "")))</f>
        <v>(Charokopou et al., 2015)</v>
      </c>
      <c r="AC5" s="44" t="str">
        <f t="shared" si="2"/>
        <v>Chronic Disease</v>
      </c>
      <c r="AD5" s="51" t="str">
        <f t="shared" si="3"/>
        <v>OR</v>
      </c>
      <c r="AE5" s="51">
        <f t="shared" si="7"/>
        <v>0.6</v>
      </c>
      <c r="AF5" s="51">
        <f t="shared" si="8"/>
        <v>0.60240963855421692</v>
      </c>
      <c r="AG5" s="51">
        <f t="shared" si="9"/>
        <v>0.60240963855421692</v>
      </c>
      <c r="AH5" s="51" t="str" cm="1">
        <f t="array" ref="AH5">IFERROR(_xlfn.TEXTJOIN(", ", TRUE, _xlfn.UNIQUE(_xlfn._xlws.FILTER(K$2:K$100, (A$2:A$100 = R5) * (D$2:D$100 = S5) * ((J$2:J$100 &lt;= 0.05))))), "")</f>
        <v>Scotland</v>
      </c>
      <c r="AI5" s="51" t="str" cm="1">
        <f t="array" ref="AI5">_xlfn.TEXTJOIN(", ", TRUE, _xlfn.UNIQUE(IF((A$2:A$100 = R5) * (D$2:D$100 = S5) * ((J$2:J$100 &lt;= 0.05)), L$2:L$100, "")))</f>
        <v>(Charokopou et al., 2015)</v>
      </c>
      <c r="AJ5" s="51" t="str">
        <f t="shared" si="14"/>
        <v>OR / RRR</v>
      </c>
      <c r="AM5" s="44" t="str">
        <f t="shared" si="10"/>
        <v>Chronic Disease</v>
      </c>
      <c r="AN5" s="46" t="str">
        <f t="shared" si="11"/>
        <v>ME</v>
      </c>
      <c r="AO5" s="194" t="str">
        <f t="shared" si="15"/>
        <v>NO DATA</v>
      </c>
      <c r="AP5" s="200">
        <f t="shared" si="12"/>
        <v>0</v>
      </c>
      <c r="AQ5" s="46">
        <f t="shared" si="13"/>
        <v>0</v>
      </c>
      <c r="AR5" s="51" t="str" cm="1">
        <f t="array" ref="AR5">_xlfn.TEXTJOIN(", ", TRUE, _xlfn.UNIQUE(IF((AC$2:AC$100 = AM5) * (AJ$2:AJ$100 = AN5), AH$2:AH$100, "")))</f>
        <v/>
      </c>
      <c r="AS5" s="51" t="str" cm="1">
        <f t="array" ref="AS5">_xlfn.TEXTJOIN(", ", TRUE, _xlfn.UNIQUE(IF((AC$2:AC$100 = AM5) * (AJ$2:AJ$100 = AN5), AI$2:AI$100, "")))</f>
        <v/>
      </c>
      <c r="BB5" s="6" t="str">
        <v>Disease Clinical Uncertainties Overcome</v>
      </c>
      <c r="BC5" s="6" t="str" cm="1">
        <f t="array" ref="BC5">INDEX($BB$1:$BB$100,INT((ROW(A5)-1)/3)+1)</f>
        <v>Chronic Disease</v>
      </c>
      <c r="BD5" s="6" t="str" cm="1">
        <f t="array" ref="BD5">INDEX({"OR","RRR","ME"},MOD(ROW(AJ5)-1,3)+1)</f>
        <v>RRR</v>
      </c>
      <c r="BF5" s="1" t="str" cm="1">
        <f t="array" ref="BF5">INDEX($BB$1:$BB$100,INT((ROW(A5)-1)/2)+1)</f>
        <v>Nervous System Diseases</v>
      </c>
      <c r="BG5" s="6" t="str" cm="1">
        <f t="array" ref="BG5">INDEX({"OR / RRR";"ME"}, MOD(ROW(AJ5)-1, 2)+1)</f>
        <v>OR / RRR</v>
      </c>
    </row>
    <row r="6" spans="1:59" ht="90">
      <c r="A6" s="110" t="s">
        <v>957</v>
      </c>
      <c r="B6" s="110" t="s">
        <v>949</v>
      </c>
      <c r="C6" s="96" t="s">
        <v>958</v>
      </c>
      <c r="D6" s="93" t="s">
        <v>891</v>
      </c>
      <c r="E6" s="95">
        <f>1/EXP(2.2)</f>
        <v>0.11080315836233387</v>
      </c>
      <c r="F6" s="95">
        <f>1/EXP(5.12)</f>
        <v>5.9760228950059427E-3</v>
      </c>
      <c r="G6" s="95">
        <f>1/EXP(-0.73)</f>
        <v>2.0750806076741224</v>
      </c>
      <c r="H6" s="95"/>
      <c r="I6" s="95"/>
      <c r="J6" s="96">
        <v>0.14099999999999999</v>
      </c>
      <c r="K6" s="96" t="s">
        <v>152</v>
      </c>
      <c r="L6" s="92" t="s">
        <v>950</v>
      </c>
      <c r="R6" s="44" t="str">
        <f t="shared" si="0"/>
        <v>Chronic Disease</v>
      </c>
      <c r="S6" s="51" t="str">
        <f t="shared" si="1"/>
        <v>RRR</v>
      </c>
      <c r="T6" s="51" t="str">
        <f t="shared" si="4"/>
        <v>NO DATA</v>
      </c>
      <c r="U6" s="199">
        <f t="shared" si="5"/>
        <v>0</v>
      </c>
      <c r="V6" s="199">
        <f t="shared" si="6"/>
        <v>0</v>
      </c>
      <c r="W6" s="51" t="e" cm="1" vm="1">
        <f t="array" ref="W6">_xlfn.TEXTJOIN(", ", TRUE, _xlfn.UNIQUE(_xlfn._xlws.FILTER(K$2:K$100, (A$2:A$100 = R6) * (D$2:D$100 = S6))))</f>
        <v>#VALUE!</v>
      </c>
      <c r="X6" s="51" t="str" cm="1">
        <f t="array" ref="X6">_xlfn.TEXTJOIN(", ", TRUE, _xlfn.UNIQUE(IF((A$2:A$100 = R6) * (D$2:D$100 = S6), L$2:L$100, "")))</f>
        <v/>
      </c>
      <c r="AC6" s="44" t="str">
        <f t="shared" si="2"/>
        <v>Chronic Disease</v>
      </c>
      <c r="AD6" s="51" t="str">
        <f t="shared" si="3"/>
        <v>RRR</v>
      </c>
      <c r="AE6" s="51" t="e">
        <f t="shared" si="7"/>
        <v>#VALUE!</v>
      </c>
      <c r="AF6" s="51" t="str">
        <f t="shared" si="8"/>
        <v>NA</v>
      </c>
      <c r="AG6" s="51" t="str">
        <f t="shared" si="9"/>
        <v>NA</v>
      </c>
      <c r="AH6" s="51" t="str" cm="1">
        <f t="array" ref="AH6">IFERROR(_xlfn.TEXTJOIN(", ", TRUE, _xlfn.UNIQUE(_xlfn._xlws.FILTER(K$2:K$100, (A$2:A$100 = R6) * (D$2:D$100 = S6) * ((J$2:J$100 &lt;= 0.05))))), "")</f>
        <v/>
      </c>
      <c r="AI6" s="51" t="str" cm="1">
        <f t="array" ref="AI6">_xlfn.TEXTJOIN(", ", TRUE, _xlfn.UNIQUE(IF((A$2:A$100 = R6) * (D$2:D$100 = S6) * ((J$2:J$100 &lt;= 0.05)), L$2:L$100, "")))</f>
        <v/>
      </c>
      <c r="AJ6" s="51" t="str">
        <f t="shared" si="14"/>
        <v>OR / RRR</v>
      </c>
      <c r="AM6" s="44" t="str">
        <f t="shared" si="10"/>
        <v>Nervous System Diseases</v>
      </c>
      <c r="AN6" s="46" t="str">
        <f t="shared" si="11"/>
        <v>OR / RRR</v>
      </c>
      <c r="AO6" s="194" t="str">
        <f t="shared" si="15"/>
        <v>NO DATA</v>
      </c>
      <c r="AP6" s="200">
        <f t="shared" si="12"/>
        <v>0</v>
      </c>
      <c r="AQ6" s="46">
        <f t="shared" si="13"/>
        <v>0</v>
      </c>
      <c r="AR6" s="51" t="str" cm="1">
        <f t="array" ref="AR6">_xlfn.TEXTJOIN(", ", TRUE, _xlfn.UNIQUE(IF((AC$2:AC$100 = AM6) * (AJ$2:AJ$100 = AN6), AH$2:AH$100, "")))</f>
        <v/>
      </c>
      <c r="AS6" s="51" t="str" cm="1">
        <f t="array" ref="AS6">_xlfn.TEXTJOIN(", ", TRUE, _xlfn.UNIQUE(IF((AC$2:AC$100 = AM6) * (AJ$2:AJ$100 = AN6), AI$2:AI$100, "")))</f>
        <v/>
      </c>
      <c r="BB6" s="6">
        <v>0</v>
      </c>
      <c r="BC6" s="6" t="str" cm="1">
        <f t="array" ref="BC6">INDEX($BB$1:$BB$100,INT((ROW(A6)-1)/3)+1)</f>
        <v>Chronic Disease</v>
      </c>
      <c r="BD6" s="6" t="str" cm="1">
        <f t="array" ref="BD6">INDEX({"OR","RRR","ME"},MOD(ROW(AJ6)-1,3)+1)</f>
        <v>ME</v>
      </c>
      <c r="BF6" s="1" t="str" cm="1">
        <f t="array" ref="BF6">INDEX($BB$1:$BB$100,INT((ROW(A6)-1)/2)+1)</f>
        <v>Nervous System Diseases</v>
      </c>
      <c r="BG6" s="6" t="str" cm="1">
        <f t="array" ref="BG6">INDEX({"OR / RRR";"ME"}, MOD(ROW(AJ6)-1, 2)+1)</f>
        <v>ME</v>
      </c>
    </row>
    <row r="7" spans="1:59" ht="60">
      <c r="A7" s="101" t="s">
        <v>959</v>
      </c>
      <c r="B7" s="110" t="s">
        <v>878</v>
      </c>
      <c r="C7" s="101" t="s">
        <v>959</v>
      </c>
      <c r="D7" s="93" t="s">
        <v>894</v>
      </c>
      <c r="E7" s="95">
        <v>0.77300000000000002</v>
      </c>
      <c r="F7" s="95">
        <f>E7-1.96*H7</f>
        <v>0.71811999999999998</v>
      </c>
      <c r="G7" s="95">
        <f>E7+1.96*H7</f>
        <v>0.82788000000000006</v>
      </c>
      <c r="H7" s="95">
        <v>2.8000000000000001E-2</v>
      </c>
      <c r="I7" s="95"/>
      <c r="J7" s="100">
        <v>0.01</v>
      </c>
      <c r="K7" s="96" t="s">
        <v>365</v>
      </c>
      <c r="L7" s="92" t="s">
        <v>893</v>
      </c>
      <c r="R7" s="44" t="str">
        <f t="shared" si="0"/>
        <v>Chronic Disease</v>
      </c>
      <c r="S7" s="51" t="str">
        <f t="shared" si="1"/>
        <v>ME</v>
      </c>
      <c r="T7" s="51" t="str">
        <f t="shared" si="4"/>
        <v>NO DATA</v>
      </c>
      <c r="U7" s="199">
        <f t="shared" si="5"/>
        <v>0</v>
      </c>
      <c r="V7" s="199">
        <f t="shared" si="6"/>
        <v>0</v>
      </c>
      <c r="W7" s="51" t="e" cm="1" vm="1">
        <f t="array" ref="W7">_xlfn.TEXTJOIN(", ", TRUE, _xlfn.UNIQUE(_xlfn._xlws.FILTER(K$2:K$100, (A$2:A$100 = R7) * (D$2:D$100 = S7))))</f>
        <v>#VALUE!</v>
      </c>
      <c r="X7" s="51" t="str" cm="1">
        <f t="array" ref="X7">_xlfn.TEXTJOIN(", ", TRUE, _xlfn.UNIQUE(IF((A$2:A$100 = R7) * (D$2:D$100 = S7), L$2:L$100, "")))</f>
        <v/>
      </c>
      <c r="AC7" s="44" t="str">
        <f t="shared" si="2"/>
        <v>Chronic Disease</v>
      </c>
      <c r="AD7" s="51" t="str">
        <f t="shared" si="3"/>
        <v>ME</v>
      </c>
      <c r="AE7" s="51" t="e">
        <f t="shared" si="7"/>
        <v>#VALUE!</v>
      </c>
      <c r="AF7" s="51" t="str">
        <f t="shared" si="8"/>
        <v>NA</v>
      </c>
      <c r="AG7" s="51" t="str">
        <f t="shared" si="9"/>
        <v>NA</v>
      </c>
      <c r="AH7" s="51" t="str" cm="1">
        <f t="array" ref="AH7">IFERROR(_xlfn.TEXTJOIN(", ", TRUE, _xlfn.UNIQUE(_xlfn._xlws.FILTER(K$2:K$100, (A$2:A$100 = R7) * (D$2:D$100 = S7) * ((J$2:J$100 &lt;= 0.05))))), "")</f>
        <v/>
      </c>
      <c r="AI7" s="51" t="str" cm="1">
        <f t="array" ref="AI7">_xlfn.TEXTJOIN(", ", TRUE, _xlfn.UNIQUE(IF((A$2:A$100 = R7) * (D$2:D$100 = S7) * ((J$2:J$100 &lt;= 0.05)), L$2:L$100, "")))</f>
        <v/>
      </c>
      <c r="AJ7" s="51" t="str">
        <f t="shared" si="14"/>
        <v>ME</v>
      </c>
      <c r="AM7" s="44" t="str">
        <f t="shared" si="10"/>
        <v>Nervous System Diseases</v>
      </c>
      <c r="AN7" s="46" t="str">
        <f t="shared" si="11"/>
        <v>ME</v>
      </c>
      <c r="AO7" s="194" t="str">
        <f t="shared" si="15"/>
        <v>NO DATA</v>
      </c>
      <c r="AP7" s="200">
        <f t="shared" si="12"/>
        <v>0</v>
      </c>
      <c r="AQ7" s="46">
        <f t="shared" si="13"/>
        <v>0</v>
      </c>
      <c r="AR7" s="51" t="str" cm="1">
        <f t="array" ref="AR7">_xlfn.TEXTJOIN(", ", TRUE, _xlfn.UNIQUE(IF((AC$2:AC$100 = AM7) * (AJ$2:AJ$100 = AN7), AH$2:AH$100, "")))</f>
        <v/>
      </c>
      <c r="AS7" s="51" t="str" cm="1">
        <f t="array" ref="AS7">_xlfn.TEXTJOIN(", ", TRUE, _xlfn.UNIQUE(IF((AC$2:AC$100 = AM7) * (AJ$2:AJ$100 = AN7), AI$2:AI$100, "")))</f>
        <v/>
      </c>
      <c r="BB7" s="6" t="str">
        <v>Disease Severity</v>
      </c>
      <c r="BC7" s="6" t="str" cm="1">
        <f t="array" ref="BC7">INDEX($BB$1:$BB$100,INT((ROW(A7)-1)/3)+1)</f>
        <v>Nervous System Diseases</v>
      </c>
      <c r="BD7" s="6" t="str" cm="1">
        <f t="array" ref="BD7">INDEX({"OR","RRR","ME"},MOD(ROW(AJ7)-1,3)+1)</f>
        <v>OR</v>
      </c>
      <c r="BF7" s="1" t="str" cm="1">
        <f t="array" ref="BF7">INDEX($BB$1:$BB$100,INT((ROW(A7)-1)/2)+1)</f>
        <v>Obstetrics, gynaceology, urinary-tract Diseases</v>
      </c>
      <c r="BG7" s="6" t="str" cm="1">
        <f t="array" ref="BG7">INDEX({"OR / RRR";"ME"}, MOD(ROW(AJ7)-1, 2)+1)</f>
        <v>OR / RRR</v>
      </c>
    </row>
    <row r="8" spans="1:59" ht="60">
      <c r="A8" s="101" t="s">
        <v>959</v>
      </c>
      <c r="B8" s="110" t="s">
        <v>878</v>
      </c>
      <c r="C8" s="101" t="s">
        <v>959</v>
      </c>
      <c r="D8" s="93" t="s">
        <v>894</v>
      </c>
      <c r="E8" s="95">
        <v>0.06</v>
      </c>
      <c r="F8" s="95">
        <f t="shared" ref="F8:F14" si="16">E8-1.96*H8</f>
        <v>4.6280000000000002E-2</v>
      </c>
      <c r="G8" s="95">
        <f t="shared" ref="G8:G14" si="17">E8+1.96*H8</f>
        <v>7.3719999999999994E-2</v>
      </c>
      <c r="H8" s="95">
        <v>7.0000000000000001E-3</v>
      </c>
      <c r="I8" s="95"/>
      <c r="J8" s="100">
        <v>0.01</v>
      </c>
      <c r="K8" s="96" t="s">
        <v>960</v>
      </c>
      <c r="L8" s="92" t="s">
        <v>893</v>
      </c>
      <c r="R8" s="44" t="str">
        <f t="shared" si="0"/>
        <v>Nervous System Diseases</v>
      </c>
      <c r="S8" s="51" t="str">
        <f t="shared" si="1"/>
        <v>OR</v>
      </c>
      <c r="T8" s="51">
        <f t="shared" si="4"/>
        <v>0.41</v>
      </c>
      <c r="U8" s="199">
        <f t="shared" si="5"/>
        <v>0.41</v>
      </c>
      <c r="V8" s="199">
        <f t="shared" si="6"/>
        <v>0.41</v>
      </c>
      <c r="W8" s="51" t="str" cm="1">
        <f t="array" ref="W8">_xlfn.TEXTJOIN(", ", TRUE, _xlfn.UNIQUE(_xlfn._xlws.FILTER(K$2:K$100, (A$2:A$100 = R8) * (D$2:D$100 = S8))))</f>
        <v>Scotland</v>
      </c>
      <c r="X8" s="51" t="str" cm="1">
        <f t="array" ref="X8">_xlfn.TEXTJOIN(", ", TRUE, _xlfn.UNIQUE(IF((A$2:A$100 = R8) * (D$2:D$100 = S8), L$2:L$100, "")))</f>
        <v>(Charokopou et al., 2015)</v>
      </c>
      <c r="AC8" s="44" t="str">
        <f t="shared" si="2"/>
        <v>Nervous System Diseases</v>
      </c>
      <c r="AD8" s="51" t="str">
        <f t="shared" si="3"/>
        <v>OR</v>
      </c>
      <c r="AE8" s="51" t="e">
        <f t="shared" si="7"/>
        <v>#VALUE!</v>
      </c>
      <c r="AF8" s="51" t="str">
        <f t="shared" si="8"/>
        <v>NA</v>
      </c>
      <c r="AG8" s="51" t="str">
        <f t="shared" si="9"/>
        <v>NA</v>
      </c>
      <c r="AH8" s="51" t="str" cm="1">
        <f t="array" ref="AH8">IFERROR(_xlfn.TEXTJOIN(", ", TRUE, _xlfn.UNIQUE(_xlfn._xlws.FILTER(K$2:K$100, (A$2:A$100 = R8) * (D$2:D$100 = S8) * ((J$2:J$100 &lt;= 0.05))))), "")</f>
        <v/>
      </c>
      <c r="AI8" s="51" t="str" cm="1">
        <f t="array" ref="AI8">_xlfn.TEXTJOIN(", ", TRUE, _xlfn.UNIQUE(IF((A$2:A$100 = R8) * (D$2:D$100 = S8) * ((J$2:J$100 &lt;= 0.05)), L$2:L$100, "")))</f>
        <v/>
      </c>
      <c r="AJ8" s="51" t="str">
        <f t="shared" si="14"/>
        <v>OR / RRR</v>
      </c>
      <c r="AM8" s="44" t="str">
        <f t="shared" si="10"/>
        <v>Obstetrics, gynaceology, urinary-tract Diseases</v>
      </c>
      <c r="AN8" s="46" t="str">
        <f t="shared" si="11"/>
        <v>OR / RRR</v>
      </c>
      <c r="AO8" s="194" t="str">
        <f t="shared" si="15"/>
        <v>NO DATA</v>
      </c>
      <c r="AP8" s="200">
        <f t="shared" si="12"/>
        <v>0</v>
      </c>
      <c r="AQ8" s="46">
        <f t="shared" si="13"/>
        <v>0</v>
      </c>
      <c r="AR8" s="51" t="str" cm="1">
        <f t="array" ref="AR8">_xlfn.TEXTJOIN(", ", TRUE, _xlfn.UNIQUE(IF((AC$2:AC$100 = AM8) * (AJ$2:AJ$100 = AN8), AH$2:AH$100, "")))</f>
        <v/>
      </c>
      <c r="AS8" s="51" t="str" cm="1">
        <f t="array" ref="AS8">_xlfn.TEXTJOIN(", ", TRUE, _xlfn.UNIQUE(IF((AC$2:AC$100 = AM8) * (AJ$2:AJ$100 = AN8), AI$2:AI$100, "")))</f>
        <v/>
      </c>
      <c r="BB8" s="6" t="str">
        <v>Disease Severity - ICER</v>
      </c>
      <c r="BC8" s="6" t="str" cm="1">
        <f t="array" ref="BC8">INDEX($BB$1:$BB$100,INT((ROW(A8)-1)/3)+1)</f>
        <v>Nervous System Diseases</v>
      </c>
      <c r="BD8" s="6" t="str" cm="1">
        <f t="array" ref="BD8">INDEX({"OR","RRR","ME"},MOD(ROW(AJ8)-1,3)+1)</f>
        <v>RRR</v>
      </c>
      <c r="BF8" s="1" t="str" cm="1">
        <f t="array" ref="BF8">INDEX($BB$1:$BB$100,INT((ROW(A8)-1)/2)+1)</f>
        <v>Obstetrics, gynaceology, urinary-tract Diseases</v>
      </c>
      <c r="BG8" s="6" t="str" cm="1">
        <f t="array" ref="BG8">INDEX({"OR / RRR";"ME"}, MOD(ROW(AJ8)-1, 2)+1)</f>
        <v>ME</v>
      </c>
    </row>
    <row r="9" spans="1:59" ht="60">
      <c r="A9" s="101" t="s">
        <v>959</v>
      </c>
      <c r="B9" s="110" t="s">
        <v>878</v>
      </c>
      <c r="C9" s="101" t="s">
        <v>959</v>
      </c>
      <c r="D9" s="93" t="s">
        <v>894</v>
      </c>
      <c r="E9" s="95">
        <v>7.1999999999999995E-2</v>
      </c>
      <c r="F9" s="95">
        <f t="shared" si="16"/>
        <v>3.2799999999999996E-2</v>
      </c>
      <c r="G9" s="95">
        <f t="shared" si="17"/>
        <v>0.11119999999999999</v>
      </c>
      <c r="H9" s="95">
        <v>0.02</v>
      </c>
      <c r="I9" s="95"/>
      <c r="J9" s="100">
        <v>0.01</v>
      </c>
      <c r="K9" s="96" t="s">
        <v>86</v>
      </c>
      <c r="L9" s="92" t="s">
        <v>893</v>
      </c>
      <c r="R9" s="44" t="str">
        <f t="shared" si="0"/>
        <v>Nervous System Diseases</v>
      </c>
      <c r="S9" s="51" t="str">
        <f t="shared" si="1"/>
        <v>RRR</v>
      </c>
      <c r="T9" s="51" t="str">
        <f t="shared" si="4"/>
        <v>NO DATA</v>
      </c>
      <c r="U9" s="199">
        <f t="shared" si="5"/>
        <v>0</v>
      </c>
      <c r="V9" s="199">
        <f t="shared" si="6"/>
        <v>0</v>
      </c>
      <c r="W9" s="51" t="e" cm="1" vm="1">
        <f t="array" ref="W9">_xlfn.TEXTJOIN(", ", TRUE, _xlfn.UNIQUE(_xlfn._xlws.FILTER(K$2:K$100, (A$2:A$100 = R9) * (D$2:D$100 = S9))))</f>
        <v>#VALUE!</v>
      </c>
      <c r="X9" s="51" t="str" cm="1">
        <f t="array" ref="X9">_xlfn.TEXTJOIN(", ", TRUE, _xlfn.UNIQUE(IF((A$2:A$100 = R9) * (D$2:D$100 = S9), L$2:L$100, "")))</f>
        <v/>
      </c>
      <c r="AC9" s="44" t="str">
        <f t="shared" si="2"/>
        <v>Nervous System Diseases</v>
      </c>
      <c r="AD9" s="51" t="str">
        <f t="shared" si="3"/>
        <v>RRR</v>
      </c>
      <c r="AE9" s="51" t="e">
        <f t="shared" si="7"/>
        <v>#VALUE!</v>
      </c>
      <c r="AF9" s="51" t="str">
        <f t="shared" si="8"/>
        <v>NA</v>
      </c>
      <c r="AG9" s="51" t="str">
        <f t="shared" si="9"/>
        <v>NA</v>
      </c>
      <c r="AH9" s="51" t="str" cm="1">
        <f t="array" ref="AH9">IFERROR(_xlfn.TEXTJOIN(", ", TRUE, _xlfn.UNIQUE(_xlfn._xlws.FILTER(K$2:K$100, (A$2:A$100 = R9) * (D$2:D$100 = S9) * ((J$2:J$100 &lt;= 0.05))))), "")</f>
        <v/>
      </c>
      <c r="AI9" s="51" t="str" cm="1">
        <f t="array" ref="AI9">_xlfn.TEXTJOIN(", ", TRUE, _xlfn.UNIQUE(IF((A$2:A$100 = R9) * (D$2:D$100 = S9) * ((J$2:J$100 &lt;= 0.05)), L$2:L$100, "")))</f>
        <v/>
      </c>
      <c r="AJ9" s="51" t="str">
        <f t="shared" si="14"/>
        <v>OR / RRR</v>
      </c>
      <c r="AM9" s="44" t="str">
        <f t="shared" si="10"/>
        <v>Obstetrics, gynaceology, urinary-tract Diseases</v>
      </c>
      <c r="AN9" s="46" t="str">
        <f t="shared" si="11"/>
        <v>ME</v>
      </c>
      <c r="AO9" s="194" t="str">
        <f t="shared" si="15"/>
        <v>NO DATA</v>
      </c>
      <c r="AP9" s="200">
        <f t="shared" si="12"/>
        <v>0</v>
      </c>
      <c r="AQ9" s="46">
        <f t="shared" si="13"/>
        <v>0</v>
      </c>
      <c r="AR9" s="51" t="str" cm="1">
        <f t="array" ref="AR9">_xlfn.TEXTJOIN(", ", TRUE, _xlfn.UNIQUE(IF((AC$2:AC$100 = AM9) * (AJ$2:AJ$100 = AN9), AH$2:AH$100, "")))</f>
        <v/>
      </c>
      <c r="AS9" s="51" t="str" cm="1">
        <f t="array" ref="AS9">_xlfn.TEXTJOIN(", ", TRUE, _xlfn.UNIQUE(IF((AC$2:AC$100 = AM9) * (AJ$2:AJ$100 = AN9), AI$2:AI$100, "")))</f>
        <v/>
      </c>
      <c r="BB9" s="6" t="str">
        <v>Infectious Diseases</v>
      </c>
      <c r="BC9" s="6" t="str" cm="1">
        <f t="array" ref="BC9">INDEX($BB$1:$BB$100,INT((ROW(A9)-1)/3)+1)</f>
        <v>Nervous System Diseases</v>
      </c>
      <c r="BD9" s="6" t="str" cm="1">
        <f t="array" ref="BD9">INDEX({"OR","RRR","ME"},MOD(ROW(AJ9)-1,3)+1)</f>
        <v>ME</v>
      </c>
      <c r="BF9" s="1" t="str" cm="1">
        <f t="array" ref="BF9">INDEX($BB$1:$BB$100,INT((ROW(A9)-1)/2)+1)</f>
        <v>Disease Clinical Uncertainties Overcome</v>
      </c>
      <c r="BG9" s="6" t="str" cm="1">
        <f t="array" ref="BG9">INDEX({"OR / RRR";"ME"}, MOD(ROW(AJ9)-1, 2)+1)</f>
        <v>OR / RRR</v>
      </c>
    </row>
    <row r="10" spans="1:59" ht="60">
      <c r="A10" s="101" t="s">
        <v>959</v>
      </c>
      <c r="B10" s="110" t="s">
        <v>878</v>
      </c>
      <c r="C10" s="101" t="s">
        <v>959</v>
      </c>
      <c r="D10" s="93" t="s">
        <v>894</v>
      </c>
      <c r="E10" s="95">
        <v>0.19800000000000001</v>
      </c>
      <c r="F10" s="95">
        <f t="shared" si="16"/>
        <v>0.10784000000000002</v>
      </c>
      <c r="G10" s="95">
        <f t="shared" si="17"/>
        <v>0.28815999999999997</v>
      </c>
      <c r="H10" s="95">
        <v>4.5999999999999999E-2</v>
      </c>
      <c r="I10" s="95"/>
      <c r="J10" s="100">
        <v>0.01</v>
      </c>
      <c r="K10" s="96" t="s">
        <v>50</v>
      </c>
      <c r="L10" s="92" t="s">
        <v>893</v>
      </c>
      <c r="R10" s="44" t="str">
        <f t="shared" si="0"/>
        <v>Nervous System Diseases</v>
      </c>
      <c r="S10" s="51" t="str">
        <f t="shared" si="1"/>
        <v>ME</v>
      </c>
      <c r="T10" s="51" t="str">
        <f t="shared" si="4"/>
        <v>NO DATA</v>
      </c>
      <c r="U10" s="199">
        <f t="shared" si="5"/>
        <v>0</v>
      </c>
      <c r="V10" s="199">
        <f t="shared" si="6"/>
        <v>0</v>
      </c>
      <c r="W10" s="51" t="e" cm="1" vm="1">
        <f t="array" ref="W10">_xlfn.TEXTJOIN(", ", TRUE, _xlfn.UNIQUE(_xlfn._xlws.FILTER(K$2:K$100, (A$2:A$100 = R10) * (D$2:D$100 = S10))))</f>
        <v>#VALUE!</v>
      </c>
      <c r="X10" s="51" t="str" cm="1">
        <f t="array" ref="X10">_xlfn.TEXTJOIN(", ", TRUE, _xlfn.UNIQUE(IF((A$2:A$100 = R10) * (D$2:D$100 = S10), L$2:L$100, "")))</f>
        <v/>
      </c>
      <c r="AC10" s="44" t="str">
        <f t="shared" si="2"/>
        <v>Nervous System Diseases</v>
      </c>
      <c r="AD10" s="51" t="str">
        <f t="shared" si="3"/>
        <v>ME</v>
      </c>
      <c r="AE10" s="51" t="e">
        <f t="shared" si="7"/>
        <v>#VALUE!</v>
      </c>
      <c r="AF10" s="51" t="str">
        <f t="shared" si="8"/>
        <v>NA</v>
      </c>
      <c r="AG10" s="51" t="str">
        <f t="shared" si="9"/>
        <v>NA</v>
      </c>
      <c r="AH10" s="51" t="str" cm="1">
        <f t="array" ref="AH10">IFERROR(_xlfn.TEXTJOIN(", ", TRUE, _xlfn.UNIQUE(_xlfn._xlws.FILTER(K$2:K$100, (A$2:A$100 = R10) * (D$2:D$100 = S10) * ((J$2:J$100 &lt;= 0.05))))), "")</f>
        <v/>
      </c>
      <c r="AI10" s="51" t="str" cm="1">
        <f t="array" ref="AI10">_xlfn.TEXTJOIN(", ", TRUE, _xlfn.UNIQUE(IF((A$2:A$100 = R10) * (D$2:D$100 = S10) * ((J$2:J$100 &lt;= 0.05)), L$2:L$100, "")))</f>
        <v/>
      </c>
      <c r="AJ10" s="51" t="str">
        <f t="shared" si="14"/>
        <v>ME</v>
      </c>
      <c r="AM10" s="44" t="str">
        <f t="shared" si="10"/>
        <v>Disease Clinical Uncertainties Overcome</v>
      </c>
      <c r="AN10" s="46" t="str">
        <f t="shared" si="11"/>
        <v>OR / RRR</v>
      </c>
      <c r="AO10" s="194" t="str">
        <f t="shared" si="15"/>
        <v>NO DATA</v>
      </c>
      <c r="AP10" s="200">
        <f t="shared" si="12"/>
        <v>0</v>
      </c>
      <c r="AQ10" s="46">
        <f t="shared" si="13"/>
        <v>0</v>
      </c>
      <c r="AR10" s="51" t="str" cm="1">
        <f t="array" ref="AR10">_xlfn.TEXTJOIN(", ", TRUE, _xlfn.UNIQUE(IF((AC$2:AC$100 = AM10) * (AJ$2:AJ$100 = AN10), AH$2:AH$100, "")))</f>
        <v/>
      </c>
      <c r="AS10" s="51" t="str" cm="1">
        <f t="array" ref="AS10">_xlfn.TEXTJOIN(", ", TRUE, _xlfn.UNIQUE(IF((AC$2:AC$100 = AM10) * (AJ$2:AJ$100 = AN10), AI$2:AI$100, "")))</f>
        <v/>
      </c>
      <c r="BB10" s="6" t="str">
        <v>Musculoskeletal Diseases</v>
      </c>
      <c r="BC10" s="6" t="str" cm="1">
        <f t="array" ref="BC10">INDEX($BB$1:$BB$100,INT((ROW(A10)-1)/3)+1)</f>
        <v>Obstetrics, gynaceology, urinary-tract Diseases</v>
      </c>
      <c r="BD10" s="6" t="str" cm="1">
        <f t="array" ref="BD10">INDEX({"OR","RRR","ME"},MOD(ROW(AJ10)-1,3)+1)</f>
        <v>OR</v>
      </c>
      <c r="BF10" s="1" t="str" cm="1">
        <f t="array" ref="BF10">INDEX($BB$1:$BB$100,INT((ROW(A10)-1)/2)+1)</f>
        <v>Disease Clinical Uncertainties Overcome</v>
      </c>
      <c r="BG10" s="6" t="str" cm="1">
        <f t="array" ref="BG10">INDEX({"OR / RRR";"ME"}, MOD(ROW(AJ10)-1, 2)+1)</f>
        <v>ME</v>
      </c>
    </row>
    <row r="11" spans="1:59" ht="135">
      <c r="A11" s="101" t="s">
        <v>959</v>
      </c>
      <c r="B11" s="110" t="s">
        <v>878</v>
      </c>
      <c r="C11" s="101" t="s">
        <v>959</v>
      </c>
      <c r="D11" s="93" t="s">
        <v>894</v>
      </c>
      <c r="E11" s="95">
        <v>0.20100000000000001</v>
      </c>
      <c r="F11" s="95">
        <f t="shared" si="16"/>
        <v>0.10888000000000002</v>
      </c>
      <c r="G11" s="95">
        <f t="shared" si="17"/>
        <v>0.29311999999999999</v>
      </c>
      <c r="H11" s="95">
        <v>4.7E-2</v>
      </c>
      <c r="I11" s="95"/>
      <c r="J11" s="100">
        <v>0.01</v>
      </c>
      <c r="K11" s="96" t="s">
        <v>961</v>
      </c>
      <c r="L11" s="92" t="s">
        <v>893</v>
      </c>
      <c r="R11" s="44" t="str">
        <f t="shared" si="0"/>
        <v>Obstetrics, gynaceology, urinary-tract Diseases</v>
      </c>
      <c r="S11" s="51" t="str">
        <f t="shared" si="1"/>
        <v>OR</v>
      </c>
      <c r="T11" s="51" t="str">
        <f t="shared" si="4"/>
        <v>NO DATA</v>
      </c>
      <c r="U11" s="199">
        <f t="shared" si="5"/>
        <v>0</v>
      </c>
      <c r="V11" s="199">
        <f t="shared" si="6"/>
        <v>0</v>
      </c>
      <c r="W11" s="51" t="e" cm="1" vm="1">
        <f t="array" ref="W11">_xlfn.TEXTJOIN(", ", TRUE, _xlfn.UNIQUE(_xlfn._xlws.FILTER(K$2:K$100, (A$2:A$100 = R11) * (D$2:D$100 = S11))))</f>
        <v>#VALUE!</v>
      </c>
      <c r="X11" s="51" t="str" cm="1">
        <f t="array" ref="X11">_xlfn.TEXTJOIN(", ", TRUE, _xlfn.UNIQUE(IF((A$2:A$100 = R11) * (D$2:D$100 = S11), L$2:L$100, "")))</f>
        <v/>
      </c>
      <c r="AC11" s="44" t="str">
        <f t="shared" si="2"/>
        <v>Obstetrics, gynaceology, urinary-tract Diseases</v>
      </c>
      <c r="AD11" s="51" t="str">
        <f t="shared" si="3"/>
        <v>OR</v>
      </c>
      <c r="AE11" s="51" t="e">
        <f t="shared" si="7"/>
        <v>#VALUE!</v>
      </c>
      <c r="AF11" s="51" t="str">
        <f t="shared" si="8"/>
        <v>NA</v>
      </c>
      <c r="AG11" s="51" t="str">
        <f t="shared" si="9"/>
        <v>NA</v>
      </c>
      <c r="AH11" s="51" t="str" cm="1">
        <f t="array" ref="AH11">IFERROR(_xlfn.TEXTJOIN(", ", TRUE, _xlfn.UNIQUE(_xlfn._xlws.FILTER(K$2:K$100, (A$2:A$100 = R11) * (D$2:D$100 = S11) * ((J$2:J$100 &lt;= 0.05))))), "")</f>
        <v/>
      </c>
      <c r="AI11" s="51" t="str" cm="1">
        <f t="array" ref="AI11">_xlfn.TEXTJOIN(", ", TRUE, _xlfn.UNIQUE(IF((A$2:A$100 = R11) * (D$2:D$100 = S11) * ((J$2:J$100 &lt;= 0.05)), L$2:L$100, "")))</f>
        <v/>
      </c>
      <c r="AJ11" s="51" t="str">
        <f t="shared" si="14"/>
        <v>OR / RRR</v>
      </c>
      <c r="AM11" s="44" t="str">
        <f t="shared" si="10"/>
        <v>Disease Clinical Uncertainties Overcome</v>
      </c>
      <c r="AN11" s="46" t="str">
        <f t="shared" si="11"/>
        <v>ME</v>
      </c>
      <c r="AO11" s="194" t="str">
        <f t="shared" si="15"/>
        <v>0,06-3,75</v>
      </c>
      <c r="AP11" s="200">
        <f t="shared" si="12"/>
        <v>0.06</v>
      </c>
      <c r="AQ11" s="46">
        <f t="shared" si="13"/>
        <v>3.7453183520599249</v>
      </c>
      <c r="AR11" s="51" t="str" cm="1">
        <f t="array" ref="AR11">_xlfn.TEXTJOIN(", ", TRUE, _xlfn.UNIQUE(IF((AC$2:AC$100 = AM11) * (AJ$2:AJ$100 = AN11), AH$2:AH$100, "")))</f>
        <v>Australia, CANADA-(CADTH), England, Germany, France-(HAS), Scotland, Sweden</v>
      </c>
      <c r="AS11" s="51" t="str" cm="1">
        <f t="array" ref="AS11">_xlfn.TEXTJOIN(", ", TRUE, _xlfn.UNIQUE(IF((AC$2:AC$100 = AM11) * (AJ$2:AJ$100 = AN11), AI$2:AI$100, "")))</f>
        <v>(Kanavos et al., 2023)</v>
      </c>
      <c r="BB11" s="6" t="str">
        <v>Oncology</v>
      </c>
      <c r="BC11" s="6" t="str" cm="1">
        <f t="array" ref="BC11">INDEX($BB$1:$BB$100,INT((ROW(A11)-1)/3)+1)</f>
        <v>Obstetrics, gynaceology, urinary-tract Diseases</v>
      </c>
      <c r="BD11" s="6" t="str" cm="1">
        <f t="array" ref="BD11">INDEX({"OR","RRR","ME"},MOD(ROW(AJ11)-1,3)+1)</f>
        <v>RRR</v>
      </c>
      <c r="BF11" s="1" cm="1">
        <f t="array" ref="BF11">INDEX($BB$1:$BB$100,INT((ROW(A11)-1)/2)+1)</f>
        <v>0</v>
      </c>
      <c r="BG11" s="6" t="str" cm="1">
        <f t="array" ref="BG11">INDEX({"OR / RRR";"ME"}, MOD(ROW(AJ11)-1, 2)+1)</f>
        <v>OR / RRR</v>
      </c>
    </row>
    <row r="12" spans="1:59" ht="104.25" customHeight="1">
      <c r="A12" s="101" t="s">
        <v>959</v>
      </c>
      <c r="B12" s="110" t="s">
        <v>878</v>
      </c>
      <c r="C12" s="101" t="s">
        <v>959</v>
      </c>
      <c r="D12" s="93" t="s">
        <v>894</v>
      </c>
      <c r="E12" s="95">
        <v>0.64700000000000002</v>
      </c>
      <c r="F12" s="95">
        <f t="shared" si="16"/>
        <v>0.60387999999999997</v>
      </c>
      <c r="G12" s="95">
        <f t="shared" si="17"/>
        <v>0.69012000000000007</v>
      </c>
      <c r="H12" s="95">
        <v>2.1999999999999999E-2</v>
      </c>
      <c r="I12" s="95"/>
      <c r="J12" s="100">
        <v>0.01</v>
      </c>
      <c r="K12" s="96" t="s">
        <v>548</v>
      </c>
      <c r="L12" s="92" t="s">
        <v>893</v>
      </c>
      <c r="R12" s="44" t="str">
        <f t="shared" si="0"/>
        <v>Obstetrics, gynaceology, urinary-tract Diseases</v>
      </c>
      <c r="S12" s="51" t="str">
        <f t="shared" si="1"/>
        <v>RRR</v>
      </c>
      <c r="T12" s="51">
        <f t="shared" si="4"/>
        <v>0.11</v>
      </c>
      <c r="U12" s="199">
        <f t="shared" si="5"/>
        <v>0.11080315836233387</v>
      </c>
      <c r="V12" s="199">
        <f t="shared" si="6"/>
        <v>0.11080315836233387</v>
      </c>
      <c r="W12" s="51" t="str" cm="1">
        <f t="array" ref="W12">_xlfn.TEXTJOIN(", ", TRUE, _xlfn.UNIQUE(_xlfn._xlws.FILTER(K$2:K$100, (A$2:A$100 = R12) * (D$2:D$100 = S12))))</f>
        <v>Netherlands</v>
      </c>
      <c r="X12" s="51" t="str" cm="1">
        <f t="array" ref="X12">_xlfn.TEXTJOIN(", ", TRUE, _xlfn.UNIQUE(IF((A$2:A$100 = R12) * (D$2:D$100 = S12), L$2:L$100, "")))</f>
        <v>(Cerri, Knapp, &amp; Fernandez, 2014a)</v>
      </c>
      <c r="AC12" s="44" t="str">
        <f t="shared" si="2"/>
        <v>Obstetrics, gynaceology, urinary-tract Diseases</v>
      </c>
      <c r="AD12" s="51" t="str">
        <f t="shared" si="3"/>
        <v>RRR</v>
      </c>
      <c r="AE12" s="51" t="e">
        <f t="shared" si="7"/>
        <v>#VALUE!</v>
      </c>
      <c r="AF12" s="51" t="str">
        <f t="shared" si="8"/>
        <v>NA</v>
      </c>
      <c r="AG12" s="51" t="str">
        <f t="shared" si="9"/>
        <v>NA</v>
      </c>
      <c r="AH12" s="51" t="str" cm="1">
        <f t="array" ref="AH12">IFERROR(_xlfn.TEXTJOIN(", ", TRUE, _xlfn.UNIQUE(_xlfn._xlws.FILTER(K$2:K$100, (A$2:A$100 = R12) * (D$2:D$100 = S12) * ((J$2:J$100 &lt;= 0.05))))), "")</f>
        <v/>
      </c>
      <c r="AI12" s="51" t="str" cm="1">
        <f t="array" ref="AI12">_xlfn.TEXTJOIN(", ", TRUE, _xlfn.UNIQUE(IF((A$2:A$100 = R12) * (D$2:D$100 = S12) * ((J$2:J$100 &lt;= 0.05)), L$2:L$100, "")))</f>
        <v/>
      </c>
      <c r="AJ12" s="51" t="str">
        <f t="shared" si="14"/>
        <v>OR / RRR</v>
      </c>
      <c r="AM12" s="44">
        <f>BF11</f>
        <v>0</v>
      </c>
      <c r="AN12" s="46" t="str">
        <f>BG11</f>
        <v>OR / RRR</v>
      </c>
      <c r="AO12" s="194" t="str">
        <f t="shared" si="15"/>
        <v>NO DATA</v>
      </c>
      <c r="AP12" s="200">
        <f t="shared" si="12"/>
        <v>0</v>
      </c>
      <c r="AQ12" s="46">
        <f t="shared" si="13"/>
        <v>0</v>
      </c>
      <c r="AR12" s="51" t="str" cm="1">
        <f t="array" ref="AR12">_xlfn.TEXTJOIN(", ", TRUE, _xlfn.UNIQUE(IF((AC$2:AC$100 = AM12) * (AJ$2:AJ$100 = AN12), AH$2:AH$100, "")))</f>
        <v/>
      </c>
      <c r="AS12" s="51" t="str" cm="1">
        <f t="array" ref="AS12">_xlfn.TEXTJOIN(", ", TRUE, _xlfn.UNIQUE(IF((AC$2:AC$100 = AM12) * (AJ$2:AJ$100 = AN12), AI$2:AI$100, "")))</f>
        <v/>
      </c>
      <c r="BB12" s="6" t="str">
        <v>Orphan Drug</v>
      </c>
      <c r="BC12" s="6" t="str" cm="1">
        <f t="array" ref="BC12">INDEX($BB$1:$BB$100,INT((ROW(A12)-1)/3)+1)</f>
        <v>Obstetrics, gynaceology, urinary-tract Diseases</v>
      </c>
      <c r="BD12" s="6" t="str" cm="1">
        <f t="array" ref="BD12">INDEX({"OR","RRR","ME"},MOD(ROW(AJ12)-1,3)+1)</f>
        <v>ME</v>
      </c>
      <c r="BF12" s="1" cm="1">
        <f t="array" ref="BF12">INDEX($BB$1:$BB$100,INT((ROW(A12)-1)/2)+1)</f>
        <v>0</v>
      </c>
      <c r="BG12" s="6" t="str" cm="1">
        <f t="array" ref="BG12">INDEX({"OR / RRR";"ME"}, MOD(ROW(AJ12)-1, 2)+1)</f>
        <v>ME</v>
      </c>
    </row>
    <row r="13" spans="1:59" ht="45">
      <c r="A13" s="101" t="s">
        <v>959</v>
      </c>
      <c r="B13" s="110" t="s">
        <v>878</v>
      </c>
      <c r="C13" s="101" t="s">
        <v>959</v>
      </c>
      <c r="D13" s="93" t="s">
        <v>894</v>
      </c>
      <c r="E13" s="95">
        <v>0.29299999999999998</v>
      </c>
      <c r="F13" s="95">
        <f t="shared" si="16"/>
        <v>0.22047999999999998</v>
      </c>
      <c r="G13" s="95">
        <f t="shared" si="17"/>
        <v>0.36551999999999996</v>
      </c>
      <c r="H13" s="95">
        <v>3.6999999999999998E-2</v>
      </c>
      <c r="I13" s="95"/>
      <c r="J13" s="100">
        <v>0.01</v>
      </c>
      <c r="K13" s="96" t="s">
        <v>122</v>
      </c>
      <c r="L13" s="92" t="s">
        <v>893</v>
      </c>
      <c r="R13" s="44" t="str">
        <f t="shared" si="0"/>
        <v>Obstetrics, gynaceology, urinary-tract Diseases</v>
      </c>
      <c r="S13" s="51" t="str">
        <f t="shared" si="1"/>
        <v>ME</v>
      </c>
      <c r="T13" s="51" t="str">
        <f t="shared" si="4"/>
        <v>NO DATA</v>
      </c>
      <c r="U13" s="199">
        <f t="shared" si="5"/>
        <v>0</v>
      </c>
      <c r="V13" s="199">
        <f t="shared" si="6"/>
        <v>0</v>
      </c>
      <c r="W13" s="51" t="e" cm="1" vm="1">
        <f t="array" ref="W13">_xlfn.TEXTJOIN(", ", TRUE, _xlfn.UNIQUE(_xlfn._xlws.FILTER(K$2:K$100, (A$2:A$100 = R13) * (D$2:D$100 = S13))))</f>
        <v>#VALUE!</v>
      </c>
      <c r="X13" s="51" t="str" cm="1">
        <f t="array" ref="X13">_xlfn.TEXTJOIN(", ", TRUE, _xlfn.UNIQUE(IF((A$2:A$100 = R13) * (D$2:D$100 = S13), L$2:L$100, "")))</f>
        <v/>
      </c>
      <c r="AC13" s="44" t="str">
        <f t="shared" si="2"/>
        <v>Obstetrics, gynaceology, urinary-tract Diseases</v>
      </c>
      <c r="AD13" s="51" t="str">
        <f t="shared" si="3"/>
        <v>ME</v>
      </c>
      <c r="AE13" s="51" t="e">
        <f t="shared" si="7"/>
        <v>#VALUE!</v>
      </c>
      <c r="AF13" s="51" t="str">
        <f t="shared" si="8"/>
        <v>NA</v>
      </c>
      <c r="AG13" s="51" t="str">
        <f t="shared" si="9"/>
        <v>NA</v>
      </c>
      <c r="AH13" s="51" t="str" cm="1">
        <f t="array" ref="AH13">IFERROR(_xlfn.TEXTJOIN(", ", TRUE, _xlfn.UNIQUE(_xlfn._xlws.FILTER(K$2:K$100, (A$2:A$100 = R13) * (D$2:D$100 = S13) * ((J$2:J$100 &lt;= 0.05))))), "")</f>
        <v/>
      </c>
      <c r="AI13" s="51" t="str" cm="1">
        <f t="array" ref="AI13">_xlfn.TEXTJOIN(", ", TRUE, _xlfn.UNIQUE(IF((A$2:A$100 = R13) * (D$2:D$100 = S13) * ((J$2:J$100 &lt;= 0.05)), L$2:L$100, "")))</f>
        <v/>
      </c>
      <c r="AJ13" s="51" t="str">
        <f t="shared" si="14"/>
        <v>ME</v>
      </c>
      <c r="AM13" s="44">
        <f t="shared" ref="AM13:AM17" si="18">BF12</f>
        <v>0</v>
      </c>
      <c r="AN13" s="46" t="str">
        <f t="shared" ref="AN13:AN17" si="19">BG12</f>
        <v>ME</v>
      </c>
      <c r="AO13" s="194" t="str">
        <f t="shared" si="15"/>
        <v>NO DATA</v>
      </c>
      <c r="AP13" s="200">
        <f t="shared" si="12"/>
        <v>0</v>
      </c>
      <c r="AQ13" s="46">
        <f t="shared" si="13"/>
        <v>0</v>
      </c>
      <c r="AR13" s="51" t="str" cm="1">
        <f t="array" ref="AR13">_xlfn.TEXTJOIN(", ", TRUE, _xlfn.UNIQUE(IF((AC$2:AC$100 = AM13) * (AJ$2:AJ$100 = AN13), AH$2:AH$100, "")))</f>
        <v/>
      </c>
      <c r="AS13" s="51" t="str" cm="1">
        <f t="array" ref="AS13">_xlfn.TEXTJOIN(", ", TRUE, _xlfn.UNIQUE(IF((AC$2:AC$100 = AM13) * (AJ$2:AJ$100 = AN13), AI$2:AI$100, "")))</f>
        <v/>
      </c>
      <c r="BB13" s="6" t="str">
        <v>Paediatric</v>
      </c>
      <c r="BC13" s="6" t="str" cm="1">
        <f t="array" ref="BC13">INDEX($BB$1:$BB$100,INT((ROW(A13)-1)/3)+1)</f>
        <v>Disease Clinical Uncertainties Overcome</v>
      </c>
      <c r="BD13" s="6" t="str" cm="1">
        <f t="array" ref="BD13">INDEX({"OR","RRR","ME"},MOD(ROW(AJ13)-1,3)+1)</f>
        <v>OR</v>
      </c>
      <c r="BF13" s="1" t="str" cm="1">
        <f t="array" ref="BF13">INDEX($BB$1:$BB$100,INT((ROW(A13)-1)/2)+1)</f>
        <v>Disease Severity</v>
      </c>
      <c r="BG13" s="6" t="str" cm="1">
        <f t="array" ref="BG13">INDEX({"OR / RRR";"ME"}, MOD(ROW(AJ13)-1, 2)+1)</f>
        <v>OR / RRR</v>
      </c>
    </row>
    <row r="14" spans="1:59" ht="45">
      <c r="A14" s="101" t="s">
        <v>959</v>
      </c>
      <c r="B14" s="110" t="s">
        <v>878</v>
      </c>
      <c r="C14" s="101" t="s">
        <v>959</v>
      </c>
      <c r="D14" s="93" t="s">
        <v>894</v>
      </c>
      <c r="E14" s="95">
        <v>3.7453183520599249</v>
      </c>
      <c r="F14" s="95">
        <f t="shared" si="16"/>
        <v>3.7021983520599249</v>
      </c>
      <c r="G14" s="95">
        <f t="shared" si="17"/>
        <v>3.788438352059925</v>
      </c>
      <c r="H14" s="95">
        <v>2.1999999999999999E-2</v>
      </c>
      <c r="I14" s="95"/>
      <c r="J14" s="100">
        <v>0.01</v>
      </c>
      <c r="K14" s="96" t="s">
        <v>548</v>
      </c>
      <c r="L14" s="92" t="s">
        <v>893</v>
      </c>
      <c r="R14" s="44" t="str">
        <f t="shared" si="0"/>
        <v>Disease Clinical Uncertainties Overcome</v>
      </c>
      <c r="S14" s="51" t="str">
        <f t="shared" si="1"/>
        <v>OR</v>
      </c>
      <c r="T14" s="51" t="str">
        <f t="shared" si="4"/>
        <v>NO DATA</v>
      </c>
      <c r="U14" s="199">
        <f t="shared" si="5"/>
        <v>0</v>
      </c>
      <c r="V14" s="199">
        <f t="shared" si="6"/>
        <v>0</v>
      </c>
      <c r="W14" s="51" t="e" cm="1" vm="1">
        <f t="array" ref="W14">_xlfn.TEXTJOIN(", ", TRUE, _xlfn.UNIQUE(_xlfn._xlws.FILTER(K$2:K$100, (A$2:A$100 = R14) * (D$2:D$100 = S14))))</f>
        <v>#VALUE!</v>
      </c>
      <c r="X14" s="51" t="str" cm="1">
        <f t="array" ref="X14">_xlfn.TEXTJOIN(", ", TRUE, _xlfn.UNIQUE(IF((A$2:A$100 = R14) * (D$2:D$100 = S14), L$2:L$100, "")))</f>
        <v/>
      </c>
      <c r="AC14" s="44" t="str">
        <f t="shared" si="2"/>
        <v>Disease Clinical Uncertainties Overcome</v>
      </c>
      <c r="AD14" s="51" t="str">
        <f t="shared" si="3"/>
        <v>OR</v>
      </c>
      <c r="AE14" s="51" t="e">
        <f t="shared" si="7"/>
        <v>#VALUE!</v>
      </c>
      <c r="AF14" s="51" t="str">
        <f t="shared" si="8"/>
        <v>NA</v>
      </c>
      <c r="AG14" s="51" t="str">
        <f t="shared" si="9"/>
        <v>NA</v>
      </c>
      <c r="AH14" s="51" t="str" cm="1">
        <f t="array" ref="AH14">IFERROR(_xlfn.TEXTJOIN(", ", TRUE, _xlfn.UNIQUE(_xlfn._xlws.FILTER(K$2:K$100, (A$2:A$100 = R14) * (D$2:D$100 = S14) * ((J$2:J$100 &lt;= 0.05))))), "")</f>
        <v/>
      </c>
      <c r="AI14" s="51" t="str" cm="1">
        <f t="array" ref="AI14">_xlfn.TEXTJOIN(", ", TRUE, _xlfn.UNIQUE(IF((A$2:A$100 = R14) * (D$2:D$100 = S14) * ((J$2:J$100 &lt;= 0.05)), L$2:L$100, "")))</f>
        <v/>
      </c>
      <c r="AJ14" s="51" t="str">
        <f t="shared" si="14"/>
        <v>OR / RRR</v>
      </c>
      <c r="AM14" s="44" t="str">
        <f t="shared" si="18"/>
        <v>Disease Severity</v>
      </c>
      <c r="AN14" s="46" t="str">
        <f t="shared" si="19"/>
        <v>OR / RRR</v>
      </c>
      <c r="AO14" s="194">
        <f t="shared" si="15"/>
        <v>11.14</v>
      </c>
      <c r="AP14" s="200">
        <f t="shared" si="12"/>
        <v>11.1442</v>
      </c>
      <c r="AQ14" s="46">
        <f t="shared" si="13"/>
        <v>11.1442</v>
      </c>
      <c r="AR14" s="51" t="str" cm="1">
        <f t="array" ref="AR14">_xlfn.TEXTJOIN(", ", TRUE, _xlfn.UNIQUE(IF((AC$2:AC$100 = AM14) * (AJ$2:AJ$100 = AN14), AH$2:AH$100, "")))</f>
        <v>France (ASMR)</v>
      </c>
      <c r="AS14" s="51" t="str" cm="1">
        <f t="array" ref="AS14">_xlfn.TEXTJOIN(", ", TRUE, _xlfn.UNIQUE(IF((AC$2:AC$100 = AM14) * (AJ$2:AJ$100 = AN14), AI$2:AI$100, "")))</f>
        <v>(Kergall et al., 2021)</v>
      </c>
      <c r="BB14" s="6" t="str">
        <v>Palliative vs curative - adjuvant</v>
      </c>
      <c r="BC14" s="6" t="str" cm="1">
        <f t="array" ref="BC14">INDEX($BB$1:$BB$100,INT((ROW(A14)-1)/3)+1)</f>
        <v>Disease Clinical Uncertainties Overcome</v>
      </c>
      <c r="BD14" s="6" t="str" cm="1">
        <f t="array" ref="BD14">INDEX({"OR","RRR","ME"},MOD(ROW(AJ14)-1,3)+1)</f>
        <v>RRR</v>
      </c>
      <c r="BF14" s="1" t="str" cm="1">
        <f t="array" ref="BF14">INDEX($BB$1:$BB$100,INT((ROW(A14)-1)/2)+1)</f>
        <v>Disease Severity</v>
      </c>
      <c r="BG14" s="6" t="str" cm="1">
        <f t="array" ref="BG14">INDEX({"OR / RRR";"ME"}, MOD(ROW(AJ14)-1, 2)+1)</f>
        <v>ME</v>
      </c>
    </row>
    <row r="15" spans="1:59" ht="76.5" customHeight="1">
      <c r="A15" s="134"/>
      <c r="B15" s="110"/>
      <c r="C15" s="101"/>
      <c r="D15" s="93"/>
      <c r="E15" s="95"/>
      <c r="F15" s="95"/>
      <c r="G15" s="95"/>
      <c r="H15" s="95"/>
      <c r="I15" s="95"/>
      <c r="J15" s="100"/>
      <c r="K15" s="96"/>
      <c r="L15" s="92"/>
      <c r="R15" s="44" t="str">
        <f t="shared" si="0"/>
        <v>Disease Clinical Uncertainties Overcome</v>
      </c>
      <c r="S15" s="51" t="str">
        <f t="shared" si="1"/>
        <v>RRR</v>
      </c>
      <c r="T15" s="51" t="str">
        <f t="shared" si="4"/>
        <v>NO DATA</v>
      </c>
      <c r="U15" s="199">
        <f t="shared" si="5"/>
        <v>0</v>
      </c>
      <c r="V15" s="199">
        <f t="shared" si="6"/>
        <v>0</v>
      </c>
      <c r="W15" s="51" t="e" cm="1" vm="1">
        <f t="array" ref="W15">_xlfn.TEXTJOIN(", ", TRUE, _xlfn.UNIQUE(_xlfn._xlws.FILTER(K$2:K$100, (A$2:A$100 = R15) * (D$2:D$100 = S15))))</f>
        <v>#VALUE!</v>
      </c>
      <c r="X15" s="51" t="str" cm="1">
        <f t="array" ref="X15">_xlfn.TEXTJOIN(", ", TRUE, _xlfn.UNIQUE(IF((A$2:A$100 = R15) * (D$2:D$100 = S15), L$2:L$100, "")))</f>
        <v/>
      </c>
      <c r="AC15" s="44" t="str">
        <f t="shared" si="2"/>
        <v>Disease Clinical Uncertainties Overcome</v>
      </c>
      <c r="AD15" s="51" t="str">
        <f t="shared" si="3"/>
        <v>RRR</v>
      </c>
      <c r="AE15" s="51" t="e">
        <f t="shared" si="7"/>
        <v>#VALUE!</v>
      </c>
      <c r="AF15" s="51" t="str">
        <f t="shared" si="8"/>
        <v>NA</v>
      </c>
      <c r="AG15" s="51" t="str">
        <f t="shared" si="9"/>
        <v>NA</v>
      </c>
      <c r="AH15" s="51" t="str" cm="1">
        <f t="array" ref="AH15">IFERROR(_xlfn.TEXTJOIN(", ", TRUE, _xlfn.UNIQUE(_xlfn._xlws.FILTER(K$2:K$100, (A$2:A$100 = R15) * (D$2:D$100 = S15) * ((J$2:J$100 &lt;= 0.05))))), "")</f>
        <v/>
      </c>
      <c r="AI15" s="51" t="str" cm="1">
        <f t="array" ref="AI15">_xlfn.TEXTJOIN(", ", TRUE, _xlfn.UNIQUE(IF((A$2:A$100 = R15) * (D$2:D$100 = S15) * ((J$2:J$100 &lt;= 0.05)), L$2:L$100, "")))</f>
        <v/>
      </c>
      <c r="AJ15" s="51" t="str">
        <f t="shared" si="14"/>
        <v>OR / RRR</v>
      </c>
      <c r="AM15" s="44" t="str">
        <f t="shared" si="18"/>
        <v>Disease Severity</v>
      </c>
      <c r="AN15" s="46" t="str">
        <f t="shared" si="19"/>
        <v>ME</v>
      </c>
      <c r="AO15" s="194">
        <f t="shared" si="15"/>
        <v>0.44</v>
      </c>
      <c r="AP15" s="200">
        <f t="shared" si="12"/>
        <v>0.44</v>
      </c>
      <c r="AQ15" s="46">
        <f t="shared" si="13"/>
        <v>0.44</v>
      </c>
      <c r="AR15" s="51" t="str" cm="1">
        <f t="array" ref="AR15">_xlfn.TEXTJOIN(", ", TRUE, _xlfn.UNIQUE(IF((AC$2:AC$100 = AM15) * (AJ$2:AJ$100 = AN15), AH$2:AH$100, "")))</f>
        <v>Australia</v>
      </c>
      <c r="AS15" s="51" t="str" cm="1">
        <f t="array" ref="AS15">_xlfn.TEXTJOIN(", ", TRUE, _xlfn.UNIQUE(IF((AC$2:AC$100 = AM15) * (AJ$2:AJ$100 = AN15), AI$2:AI$100, "")))</f>
        <v>(A. H. Harris et al., 2008)</v>
      </c>
      <c r="BB15" s="6" t="str">
        <v>Patient Participation</v>
      </c>
      <c r="BC15" s="6" t="str" cm="1">
        <f t="array" ref="BC15">INDEX($BB$1:$BB$100,INT((ROW(A15)-1)/3)+1)</f>
        <v>Disease Clinical Uncertainties Overcome</v>
      </c>
      <c r="BD15" s="6" t="str" cm="1">
        <f t="array" ref="BD15">INDEX({"OR","RRR","ME"},MOD(ROW(AJ15)-1,3)+1)</f>
        <v>ME</v>
      </c>
      <c r="BF15" s="1" t="str" cm="1">
        <f t="array" ref="BF15">INDEX($BB$1:$BB$100,INT((ROW(A15)-1)/2)+1)</f>
        <v>Disease Severity - ICER</v>
      </c>
      <c r="BG15" s="6" t="str" cm="1">
        <f t="array" ref="BG15">INDEX({"OR / RRR";"ME"}, MOD(ROW(AJ15)-1, 2)+1)</f>
        <v>OR / RRR</v>
      </c>
    </row>
    <row r="16" spans="1:59" ht="76.5" customHeight="1">
      <c r="A16" s="134"/>
      <c r="B16" s="110"/>
      <c r="C16" s="101"/>
      <c r="D16" s="93"/>
      <c r="E16" s="95"/>
      <c r="F16" s="95"/>
      <c r="G16" s="95"/>
      <c r="H16" s="95"/>
      <c r="I16" s="95"/>
      <c r="J16" s="100"/>
      <c r="K16" s="96"/>
      <c r="L16" s="92"/>
      <c r="R16" s="44" t="str">
        <f t="shared" si="0"/>
        <v>Disease Clinical Uncertainties Overcome</v>
      </c>
      <c r="S16" s="51" t="str">
        <f t="shared" si="1"/>
        <v>ME</v>
      </c>
      <c r="T16" s="51" t="str">
        <f t="shared" si="4"/>
        <v>0,06-3,75</v>
      </c>
      <c r="U16" s="199">
        <f t="shared" si="5"/>
        <v>0.06</v>
      </c>
      <c r="V16" s="199">
        <f t="shared" si="6"/>
        <v>3.7453183520599249</v>
      </c>
      <c r="W16" s="51" t="str" cm="1">
        <f t="array" ref="W16">_xlfn.TEXTJOIN(", ", TRUE, _xlfn.UNIQUE(_xlfn._xlws.FILTER(K$2:K$100, (A$2:A$100 = R16) * (D$2:D$100 = S16))))</f>
        <v>Australia, CANADA-(CADTH), England, Germany, France-(HAS), Scotland, Sweden</v>
      </c>
      <c r="X16" s="51" t="str" cm="1">
        <f t="array" ref="X16">_xlfn.TEXTJOIN(", ", TRUE, _xlfn.UNIQUE(IF((A$2:A$100 = R16) * (D$2:D$100 = S16), L$2:L$100, "")))</f>
        <v>(Kanavos et al., 2023)</v>
      </c>
      <c r="AC16" s="44" t="str">
        <f t="shared" si="2"/>
        <v>Disease Clinical Uncertainties Overcome</v>
      </c>
      <c r="AD16" s="51" t="str">
        <f t="shared" si="3"/>
        <v>ME</v>
      </c>
      <c r="AE16" s="51" t="str">
        <f t="shared" si="7"/>
        <v>0,06-3,75</v>
      </c>
      <c r="AF16" s="51">
        <f t="shared" si="8"/>
        <v>0.06</v>
      </c>
      <c r="AG16" s="51">
        <f t="shared" si="9"/>
        <v>3.7453183520599249</v>
      </c>
      <c r="AH16" s="51" t="str" cm="1">
        <f t="array" ref="AH16">IFERROR(_xlfn.TEXTJOIN(", ", TRUE, _xlfn.UNIQUE(_xlfn._xlws.FILTER(K$2:K$100, (A$2:A$100 = R16) * (D$2:D$100 = S16) * ((J$2:J$100 &lt;= 0.05))))), "")</f>
        <v>Australia, CANADA-(CADTH), England, Germany, France-(HAS), Scotland, Sweden</v>
      </c>
      <c r="AI16" s="51" t="str" cm="1">
        <f t="array" ref="AI16">_xlfn.TEXTJOIN(", ", TRUE, _xlfn.UNIQUE(IF((A$2:A$100 = R16) * (D$2:D$100 = S16) * ((J$2:J$100 &lt;= 0.05)), L$2:L$100, "")))</f>
        <v>(Kanavos et al., 2023)</v>
      </c>
      <c r="AJ16" s="51" t="str">
        <f t="shared" si="14"/>
        <v>ME</v>
      </c>
      <c r="AM16" s="44" t="str">
        <f t="shared" si="18"/>
        <v>Disease Severity - ICER</v>
      </c>
      <c r="AN16" s="46" t="str">
        <f t="shared" si="19"/>
        <v>OR / RRR</v>
      </c>
      <c r="AO16" s="194">
        <f t="shared" si="15"/>
        <v>0.68</v>
      </c>
      <c r="AP16" s="200">
        <f t="shared" si="12"/>
        <v>0.68</v>
      </c>
      <c r="AQ16" s="46">
        <f t="shared" si="13"/>
        <v>0.68</v>
      </c>
      <c r="AR16" s="51" t="str" cm="1">
        <f t="array" ref="AR16">_xlfn.TEXTJOIN(", ", TRUE, _xlfn.UNIQUE(IF((AC$2:AC$100 = AM16) * (AJ$2:AJ$100 = AN16), AH$2:AH$100, "")))</f>
        <v>Norway</v>
      </c>
      <c r="AS16" s="51" t="str" cm="1">
        <f t="array" ref="AS16">_xlfn.TEXTJOIN(", ", TRUE, _xlfn.UNIQUE(IF((AC$2:AC$100 = AM16) * (AJ$2:AJ$100 = AN16), AI$2:AI$100, "")))</f>
        <v>(Tranvåg et al., 2022)</v>
      </c>
      <c r="BB16" s="6" t="str">
        <v>Patient Population Not Reported</v>
      </c>
      <c r="BC16" s="6" cm="1">
        <f t="array" ref="BC16">INDEX($BB$1:$BB$100,INT((ROW(A16)-1)/3)+1)</f>
        <v>0</v>
      </c>
      <c r="BD16" s="6" t="str" cm="1">
        <f t="array" ref="BD16">INDEX({"OR","RRR","ME"},MOD(ROW(AJ16)-1,3)+1)</f>
        <v>OR</v>
      </c>
      <c r="BF16" s="1" t="str" cm="1">
        <f t="array" ref="BF16">INDEX($BB$1:$BB$100,INT((ROW(A16)-1)/2)+1)</f>
        <v>Disease Severity - ICER</v>
      </c>
      <c r="BG16" s="6" t="str" cm="1">
        <f t="array" ref="BG16">INDEX({"OR / RRR";"ME"}, MOD(ROW(AJ16)-1, 2)+1)</f>
        <v>ME</v>
      </c>
    </row>
    <row r="17" spans="1:59" ht="76.5" customHeight="1">
      <c r="A17" s="134"/>
      <c r="B17" s="110"/>
      <c r="C17" s="101"/>
      <c r="D17" s="93"/>
      <c r="E17" s="95"/>
      <c r="F17" s="95"/>
      <c r="G17" s="95"/>
      <c r="H17" s="95"/>
      <c r="I17" s="95"/>
      <c r="J17" s="100"/>
      <c r="K17" s="96"/>
      <c r="L17" s="92"/>
      <c r="R17" s="44">
        <f t="shared" si="0"/>
        <v>0</v>
      </c>
      <c r="S17" s="51" t="str">
        <f t="shared" si="1"/>
        <v>OR</v>
      </c>
      <c r="T17" s="51" t="str">
        <f t="shared" si="4"/>
        <v>NO DATA</v>
      </c>
      <c r="U17" s="199">
        <f t="shared" si="5"/>
        <v>0</v>
      </c>
      <c r="V17" s="199">
        <f t="shared" si="6"/>
        <v>0</v>
      </c>
      <c r="W17" s="51" t="e" cm="1" vm="1">
        <f t="array" ref="W17">_xlfn.TEXTJOIN(", ", TRUE, _xlfn.UNIQUE(_xlfn._xlws.FILTER(K$2:K$100, (A$2:A$100 = R17) * (D$2:D$100 = S17))))</f>
        <v>#VALUE!</v>
      </c>
      <c r="X17" s="51" t="str" cm="1">
        <f t="array" ref="X17">_xlfn.TEXTJOIN(", ", TRUE, _xlfn.UNIQUE(IF((A$2:A$100 = R17) * (D$2:D$100 = S17), L$2:L$100, "")))</f>
        <v/>
      </c>
      <c r="AC17" s="44">
        <f t="shared" si="2"/>
        <v>0</v>
      </c>
      <c r="AD17" s="51" t="str">
        <f t="shared" si="3"/>
        <v>OR</v>
      </c>
      <c r="AE17" s="51" t="e">
        <f t="shared" si="7"/>
        <v>#VALUE!</v>
      </c>
      <c r="AF17" s="51" t="str">
        <f t="shared" si="8"/>
        <v>NA</v>
      </c>
      <c r="AG17" s="51" t="str">
        <f t="shared" si="9"/>
        <v>NA</v>
      </c>
      <c r="AH17" s="51" t="str" cm="1">
        <f t="array" ref="AH17">IFERROR(_xlfn.TEXTJOIN(", ", TRUE, _xlfn.UNIQUE(_xlfn._xlws.FILTER(K$2:K$100, (A$2:A$100 = R17) * (D$2:D$100 = S17) * ((J$2:J$100 &lt;= 0.05))))), "")</f>
        <v/>
      </c>
      <c r="AI17" s="51" t="str" cm="1">
        <f t="array" ref="AI17">_xlfn.TEXTJOIN(", ", TRUE, _xlfn.UNIQUE(IF((A$2:A$100 = R17) * (D$2:D$100 = S17) * ((J$2:J$100 &lt;= 0.05)), L$2:L$100, "")))</f>
        <v/>
      </c>
      <c r="AJ17" s="51" t="str">
        <f t="shared" si="14"/>
        <v>OR / RRR</v>
      </c>
      <c r="AM17" s="44" t="str">
        <f t="shared" si="18"/>
        <v>Disease Severity - ICER</v>
      </c>
      <c r="AN17" s="46" t="str">
        <f t="shared" si="19"/>
        <v>ME</v>
      </c>
      <c r="AO17" s="194" t="str">
        <f t="shared" si="15"/>
        <v>NO DATA</v>
      </c>
      <c r="AP17" s="200">
        <f t="shared" si="12"/>
        <v>0</v>
      </c>
      <c r="AQ17" s="46">
        <f t="shared" si="13"/>
        <v>0</v>
      </c>
      <c r="AR17" s="51" t="str" cm="1">
        <f t="array" ref="AR17">_xlfn.TEXTJOIN(", ", TRUE, _xlfn.UNIQUE(IF((AC$2:AC$100 = AM17) * (AJ$2:AJ$100 = AN17), AH$2:AH$100, "")))</f>
        <v/>
      </c>
      <c r="AS17" s="51" t="str" cm="1">
        <f t="array" ref="AS17">_xlfn.TEXTJOIN(", ", TRUE, _xlfn.UNIQUE(IF((AC$2:AC$100 = AM17) * (AJ$2:AJ$100 = AN17), AI$2:AI$100, "")))</f>
        <v/>
      </c>
      <c r="BB17" s="6" t="str">
        <v>Preventive vs Curative</v>
      </c>
      <c r="BC17" s="6" cm="1">
        <f t="array" ref="BC17">INDEX($BB$1:$BB$100,INT((ROW(A17)-1)/3)+1)</f>
        <v>0</v>
      </c>
      <c r="BD17" s="6" t="str" cm="1">
        <f t="array" ref="BD17">INDEX({"OR","RRR","ME"},MOD(ROW(AJ17)-1,3)+1)</f>
        <v>RRR</v>
      </c>
      <c r="BF17" s="1" t="str" cm="1">
        <f t="array" ref="BF17">INDEX($BB$1:$BB$100,INT((ROW(A17)-1)/2)+1)</f>
        <v>Infectious Diseases</v>
      </c>
      <c r="BG17" s="6" t="str" cm="1">
        <f t="array" ref="BG17">INDEX({"OR / RRR";"ME"}, MOD(ROW(AJ17)-1, 2)+1)</f>
        <v>OR / RRR</v>
      </c>
    </row>
    <row r="18" spans="1:59" ht="76.5" customHeight="1">
      <c r="A18" s="134"/>
      <c r="B18" s="110"/>
      <c r="C18" s="101"/>
      <c r="D18" s="93"/>
      <c r="E18" s="95"/>
      <c r="F18" s="95"/>
      <c r="G18" s="95"/>
      <c r="H18" s="95"/>
      <c r="I18" s="95"/>
      <c r="J18" s="100"/>
      <c r="K18" s="96"/>
      <c r="L18" s="92"/>
      <c r="R18" s="44">
        <f t="shared" si="0"/>
        <v>0</v>
      </c>
      <c r="S18" s="51" t="str">
        <f t="shared" si="1"/>
        <v>RRR</v>
      </c>
      <c r="T18" s="51" t="str">
        <f t="shared" si="4"/>
        <v>NO DATA</v>
      </c>
      <c r="U18" s="199">
        <f t="shared" si="5"/>
        <v>0</v>
      </c>
      <c r="V18" s="199">
        <f t="shared" si="6"/>
        <v>0</v>
      </c>
      <c r="W18" s="51" t="e" cm="1" vm="1">
        <f t="array" ref="W18">_xlfn.TEXTJOIN(", ", TRUE, _xlfn.UNIQUE(_xlfn._xlws.FILTER(K$2:K$100, (A$2:A$100 = R18) * (D$2:D$100 = S18))))</f>
        <v>#VALUE!</v>
      </c>
      <c r="X18" s="51" t="str" cm="1">
        <f t="array" ref="X18">_xlfn.TEXTJOIN(", ", TRUE, _xlfn.UNIQUE(IF((A$2:A$100 = R18) * (D$2:D$100 = S18), L$2:L$100, "")))</f>
        <v/>
      </c>
      <c r="AC18" s="44">
        <f t="shared" si="2"/>
        <v>0</v>
      </c>
      <c r="AD18" s="51" t="str">
        <f t="shared" si="3"/>
        <v>RRR</v>
      </c>
      <c r="AE18" s="51" t="e">
        <f t="shared" si="7"/>
        <v>#VALUE!</v>
      </c>
      <c r="AF18" s="51" t="str">
        <f t="shared" si="8"/>
        <v>NA</v>
      </c>
      <c r="AG18" s="51" t="str">
        <f t="shared" si="9"/>
        <v>NA</v>
      </c>
      <c r="AH18" s="51" t="str" cm="1">
        <f t="array" ref="AH18">IFERROR(_xlfn.TEXTJOIN(", ", TRUE, _xlfn.UNIQUE(_xlfn._xlws.FILTER(K$2:K$100, (A$2:A$100 = R18) * (D$2:D$100 = S18) * ((J$2:J$100 &lt;= 0.05))))), "")</f>
        <v/>
      </c>
      <c r="AI18" s="51" t="str" cm="1">
        <f t="array" ref="AI18">_xlfn.TEXTJOIN(", ", TRUE, _xlfn.UNIQUE(IF((A$2:A$100 = R18) * (D$2:D$100 = S18) * ((J$2:J$100 &lt;= 0.05)), L$2:L$100, "")))</f>
        <v/>
      </c>
      <c r="AJ18" s="51" t="str">
        <f t="shared" si="14"/>
        <v>OR / RRR</v>
      </c>
      <c r="AM18" s="44" t="str">
        <f>BF17</f>
        <v>Infectious Diseases</v>
      </c>
      <c r="AN18" s="46" t="str">
        <f>BG17</f>
        <v>OR / RRR</v>
      </c>
      <c r="AO18" s="194" t="str">
        <f t="shared" si="15"/>
        <v>NO DATA</v>
      </c>
      <c r="AP18" s="200">
        <f t="shared" si="12"/>
        <v>0</v>
      </c>
      <c r="AQ18" s="46">
        <f t="shared" si="13"/>
        <v>0</v>
      </c>
      <c r="AR18" s="51" t="str" cm="1">
        <f t="array" ref="AR18">_xlfn.TEXTJOIN(", ", TRUE, _xlfn.UNIQUE(IF((AC$2:AC$100 = AM18) * (AJ$2:AJ$100 = AN18), AH$2:AH$100, "")))</f>
        <v/>
      </c>
      <c r="AS18" s="51" t="str" cm="1">
        <f t="array" ref="AS18">_xlfn.TEXTJOIN(", ", TRUE, _xlfn.UNIQUE(IF((AC$2:AC$100 = AM18) * (AJ$2:AJ$100 = AN18), AI$2:AI$100, "")))</f>
        <v/>
      </c>
      <c r="BB18" s="6" t="str">
        <v>Public Health - Impact</v>
      </c>
      <c r="BC18" s="6" cm="1">
        <f t="array" ref="BC18">INDEX($BB$1:$BB$100,INT((ROW(A18)-1)/3)+1)</f>
        <v>0</v>
      </c>
      <c r="BD18" s="6" t="str" cm="1">
        <f t="array" ref="BD18">INDEX({"OR","RRR","ME"},MOD(ROW(AJ18)-1,3)+1)</f>
        <v>ME</v>
      </c>
      <c r="BF18" s="1" t="str" cm="1">
        <f t="array" ref="BF18">INDEX($BB$1:$BB$100,INT((ROW(A18)-1)/2)+1)</f>
        <v>Infectious Diseases</v>
      </c>
      <c r="BG18" s="6" t="str" cm="1">
        <f t="array" ref="BG18">INDEX({"OR / RRR";"ME"}, MOD(ROW(AJ18)-1, 2)+1)</f>
        <v>ME</v>
      </c>
    </row>
    <row r="19" spans="1:59" ht="76.5" customHeight="1">
      <c r="A19" s="134"/>
      <c r="B19" s="110"/>
      <c r="C19" s="101"/>
      <c r="D19" s="93"/>
      <c r="E19" s="95"/>
      <c r="F19" s="95"/>
      <c r="G19" s="95"/>
      <c r="H19" s="95"/>
      <c r="I19" s="95"/>
      <c r="J19" s="100"/>
      <c r="K19" s="96"/>
      <c r="L19" s="92"/>
      <c r="R19" s="44">
        <f t="shared" si="0"/>
        <v>0</v>
      </c>
      <c r="S19" s="51" t="str">
        <f t="shared" si="1"/>
        <v>ME</v>
      </c>
      <c r="T19" s="51" t="str">
        <f t="shared" si="4"/>
        <v>NO DATA</v>
      </c>
      <c r="U19" s="199">
        <f t="shared" si="5"/>
        <v>0</v>
      </c>
      <c r="V19" s="199">
        <f t="shared" si="6"/>
        <v>0</v>
      </c>
      <c r="W19" s="51" t="e" cm="1" vm="1">
        <f t="array" ref="W19">_xlfn.TEXTJOIN(", ", TRUE, _xlfn.UNIQUE(_xlfn._xlws.FILTER(K$2:K$100, (A$2:A$100 = R19) * (D$2:D$100 = S19))))</f>
        <v>#VALUE!</v>
      </c>
      <c r="X19" s="51" t="str" cm="1">
        <f t="array" ref="X19">_xlfn.TEXTJOIN(", ", TRUE, _xlfn.UNIQUE(IF((A$2:A$100 = R19) * (D$2:D$100 = S19), L$2:L$100, "")))</f>
        <v/>
      </c>
      <c r="AC19" s="44">
        <f t="shared" si="2"/>
        <v>0</v>
      </c>
      <c r="AD19" s="51" t="str">
        <f t="shared" si="3"/>
        <v>ME</v>
      </c>
      <c r="AE19" s="51" t="e">
        <f t="shared" si="7"/>
        <v>#VALUE!</v>
      </c>
      <c r="AF19" s="51" t="str">
        <f t="shared" si="8"/>
        <v>NA</v>
      </c>
      <c r="AG19" s="51" t="str">
        <f t="shared" si="9"/>
        <v>NA</v>
      </c>
      <c r="AH19" s="51" t="str" cm="1">
        <f t="array" ref="AH19">IFERROR(_xlfn.TEXTJOIN(", ", TRUE, _xlfn.UNIQUE(_xlfn._xlws.FILTER(K$2:K$100, (A$2:A$100 = R19) * (D$2:D$100 = S19) * ((J$2:J$100 &lt;= 0.05))))), "")</f>
        <v/>
      </c>
      <c r="AI19" s="51" t="str" cm="1">
        <f t="array" ref="AI19">_xlfn.TEXTJOIN(", ", TRUE, _xlfn.UNIQUE(IF((A$2:A$100 = R19) * (D$2:D$100 = S19) * ((J$2:J$100 &lt;= 0.05)), L$2:L$100, "")))</f>
        <v/>
      </c>
      <c r="AJ19" s="51" t="str">
        <f t="shared" si="14"/>
        <v>ME</v>
      </c>
      <c r="AM19" s="44" t="str">
        <f t="shared" ref="AM19:AM25" si="20">BF18</f>
        <v>Infectious Diseases</v>
      </c>
      <c r="AN19" s="46" t="str">
        <f t="shared" ref="AN19:AN25" si="21">BG18</f>
        <v>ME</v>
      </c>
      <c r="AO19" s="194" t="str">
        <f t="shared" si="15"/>
        <v>NO DATA</v>
      </c>
      <c r="AP19" s="200">
        <f t="shared" si="12"/>
        <v>0</v>
      </c>
      <c r="AQ19" s="46">
        <f t="shared" si="13"/>
        <v>0</v>
      </c>
      <c r="AR19" s="51" t="str" cm="1">
        <f t="array" ref="AR19">_xlfn.TEXTJOIN(", ", TRUE, _xlfn.UNIQUE(IF((AC$2:AC$100 = AM19) * (AJ$2:AJ$100 = AN19), AH$2:AH$100, "")))</f>
        <v/>
      </c>
      <c r="AS19" s="51" t="str" cm="1">
        <f t="array" ref="AS19">_xlfn.TEXTJOIN(", ", TRUE, _xlfn.UNIQUE(IF((AC$2:AC$100 = AM19) * (AJ$2:AJ$100 = AN19), AI$2:AI$100, "")))</f>
        <v/>
      </c>
      <c r="BB19" s="6" t="str">
        <v>Respiratory</v>
      </c>
      <c r="BC19" s="6" t="str" cm="1">
        <f t="array" ref="BC19">INDEX($BB$1:$BB$100,INT((ROW(A19)-1)/3)+1)</f>
        <v>Disease Severity</v>
      </c>
      <c r="BD19" s="6" t="str" cm="1">
        <f t="array" ref="BD19">INDEX({"OR","RRR","ME"},MOD(ROW(AJ19)-1,3)+1)</f>
        <v>OR</v>
      </c>
      <c r="BF19" s="1" t="str" cm="1">
        <f t="array" ref="BF19">INDEX($BB$1:$BB$100,INT((ROW(A19)-1)/2)+1)</f>
        <v>Musculoskeletal Diseases</v>
      </c>
      <c r="BG19" s="6" t="str" cm="1">
        <f t="array" ref="BG19">INDEX({"OR / RRR";"ME"}, MOD(ROW(AJ19)-1, 2)+1)</f>
        <v>OR / RRR</v>
      </c>
    </row>
    <row r="20" spans="1:59" ht="128.25" customHeight="1">
      <c r="A20" s="195"/>
      <c r="B20" s="186"/>
      <c r="C20" s="196"/>
      <c r="D20" s="121"/>
      <c r="E20" s="122"/>
      <c r="F20" s="122"/>
      <c r="G20" s="122"/>
      <c r="H20" s="122"/>
      <c r="I20" s="122"/>
      <c r="J20" s="162"/>
      <c r="K20" s="120"/>
      <c r="L20" s="138"/>
      <c r="R20" s="44" t="str">
        <f t="shared" si="0"/>
        <v>Disease Severity</v>
      </c>
      <c r="S20" s="51" t="str">
        <f t="shared" si="1"/>
        <v>OR</v>
      </c>
      <c r="T20" s="51" t="str">
        <f t="shared" si="4"/>
        <v>0,4-11,81</v>
      </c>
      <c r="U20" s="199">
        <f t="shared" si="5"/>
        <v>0.39700000000000002</v>
      </c>
      <c r="V20" s="199">
        <f t="shared" si="6"/>
        <v>11.805</v>
      </c>
      <c r="W20" s="51" t="str" cm="1">
        <f t="array" ref="W20">_xlfn.TEXTJOIN(", ", TRUE, _xlfn.UNIQUE(_xlfn._xlws.FILTER(K$2:K$100, (A$2:A$100 = R20) * (D$2:D$100 = S20))))</f>
        <v>Australia, France (ASMR), South Korea, Sweden, Wales (UK), UK, CANADA-(INESSS), CANADA-(CADTH) Scotland, UK, France, France (SMR)</v>
      </c>
      <c r="X20" s="51" t="str" cm="1">
        <f t="array" ref="X20">_xlfn.TEXTJOIN(", ", TRUE, _xlfn.UNIQUE(IF((A$2:A$100 = R20) * (D$2:D$100 = S20), L$2:L$100, "")))</f>
        <v>(A. Harris et al., 2016), (Kergall et al., 2021), (Bae et al., 2018), (Svensson et al., 2015), (Linley &amp; Hughes, 2012), (Mauskopf et al., 2013), (Mills, 2023), (H. Dakin, Devlin, Feng, Rice, O’Neill, et al., 2015)</v>
      </c>
      <c r="Y20" s="6">
        <v>8</v>
      </c>
      <c r="AC20" s="44" t="str">
        <f t="shared" si="2"/>
        <v>Disease Severity</v>
      </c>
      <c r="AD20" s="51" t="str">
        <f t="shared" si="3"/>
        <v>OR</v>
      </c>
      <c r="AE20" s="51">
        <f t="shared" si="7"/>
        <v>11.14</v>
      </c>
      <c r="AF20" s="51">
        <f t="shared" si="8"/>
        <v>11.1442</v>
      </c>
      <c r="AG20" s="51">
        <f t="shared" si="9"/>
        <v>11.1442</v>
      </c>
      <c r="AH20" s="51" t="str" cm="1">
        <f t="array" ref="AH20">IFERROR(_xlfn.TEXTJOIN(", ", TRUE, _xlfn.UNIQUE(_xlfn._xlws.FILTER(K$2:K$100, (A$2:A$100 = R20) * (D$2:D$100 = S20) * ((J$2:J$100 &lt;= 0.05))))), "")</f>
        <v>France (ASMR)</v>
      </c>
      <c r="AI20" s="51" t="str" cm="1">
        <f t="array" ref="AI20">_xlfn.TEXTJOIN(", ", TRUE, _xlfn.UNIQUE(IF((A$2:A$100 = R20) * (D$2:D$100 = S20) * ((J$2:J$100 &lt;= 0.05)), L$2:L$100, "")))</f>
        <v>(Kergall et al., 2021)</v>
      </c>
      <c r="AJ20" s="51" t="str">
        <f t="shared" si="14"/>
        <v>OR / RRR</v>
      </c>
      <c r="AK20" s="1"/>
      <c r="AM20" s="44" t="str">
        <f t="shared" si="20"/>
        <v>Musculoskeletal Diseases</v>
      </c>
      <c r="AN20" s="46" t="str">
        <f t="shared" si="21"/>
        <v>OR / RRR</v>
      </c>
      <c r="AO20" s="194">
        <f t="shared" si="15"/>
        <v>5.73</v>
      </c>
      <c r="AP20" s="200">
        <f t="shared" si="12"/>
        <v>5.7320000000000002</v>
      </c>
      <c r="AQ20" s="46">
        <f t="shared" si="13"/>
        <v>5.7320000000000002</v>
      </c>
      <c r="AR20" s="51" t="str" cm="1">
        <f t="array" ref="AR20">_xlfn.TEXTJOIN(", ", TRUE, _xlfn.UNIQUE(IF((AC$2:AC$100 = AM20) * (AJ$2:AJ$100 = AN20), AH$2:AH$100, "")))</f>
        <v>UK</v>
      </c>
      <c r="AS20" s="51" t="str" cm="1">
        <f t="array" ref="AS20">_xlfn.TEXTJOIN(", ", TRUE, _xlfn.UNIQUE(IF((AC$2:AC$100 = AM20) * (AJ$2:AJ$100 = AN20), AI$2:AI$100, "")))</f>
        <v>(H. Dakin, Devlin, Feng, Rice, O’Neill, et al., 2015)</v>
      </c>
      <c r="BB20" s="6" t="str">
        <v>Special Demographics</v>
      </c>
      <c r="BC20" s="6" t="str" cm="1">
        <f t="array" ref="BC20">INDEX($BB$1:$BB$100,INT((ROW(A20)-1)/3)+1)</f>
        <v>Disease Severity</v>
      </c>
      <c r="BD20" s="6" t="str" cm="1">
        <f t="array" ref="BD20">INDEX({"OR","RRR","ME"},MOD(ROW(AJ20)-1,3)+1)</f>
        <v>RRR</v>
      </c>
      <c r="BF20" s="1" t="str" cm="1">
        <f t="array" ref="BF20">INDEX($BB$1:$BB$100,INT((ROW(A20)-1)/2)+1)</f>
        <v>Musculoskeletal Diseases</v>
      </c>
      <c r="BG20" s="6" t="str" cm="1">
        <f t="array" ref="BG20">INDEX({"OR / RRR";"ME"}, MOD(ROW(AJ20)-1, 2)+1)</f>
        <v>ME</v>
      </c>
    </row>
    <row r="21" spans="1:59" ht="30">
      <c r="A21" s="106" t="s">
        <v>962</v>
      </c>
      <c r="B21" s="125" t="s">
        <v>897</v>
      </c>
      <c r="C21" s="96" t="s">
        <v>963</v>
      </c>
      <c r="D21" s="106" t="s">
        <v>894</v>
      </c>
      <c r="E21" s="126">
        <v>0.44</v>
      </c>
      <c r="F21" s="126">
        <v>0.18</v>
      </c>
      <c r="G21" s="126">
        <v>0.7</v>
      </c>
      <c r="H21" s="126"/>
      <c r="I21" s="126"/>
      <c r="J21" s="96">
        <v>0.01</v>
      </c>
      <c r="K21" s="96" t="s">
        <v>365</v>
      </c>
      <c r="L21" s="100" t="s">
        <v>901</v>
      </c>
      <c r="R21" s="44" t="str">
        <f t="shared" si="0"/>
        <v>Disease Severity</v>
      </c>
      <c r="S21" s="51" t="str">
        <f t="shared" si="1"/>
        <v>RRR</v>
      </c>
      <c r="T21" s="51" t="str">
        <f t="shared" si="4"/>
        <v>NO DATA</v>
      </c>
      <c r="U21" s="199">
        <f t="shared" si="5"/>
        <v>0</v>
      </c>
      <c r="V21" s="199">
        <f t="shared" si="6"/>
        <v>0</v>
      </c>
      <c r="W21" s="51" t="e" cm="1" vm="1">
        <f t="array" ref="W21">_xlfn.TEXTJOIN(", ", TRUE, _xlfn.UNIQUE(_xlfn._xlws.FILTER(K$2:K$100, (A$2:A$100 = R21) * (D$2:D$100 = S21))))</f>
        <v>#VALUE!</v>
      </c>
      <c r="X21" s="51" t="str" cm="1">
        <f t="array" ref="X21">_xlfn.TEXTJOIN(", ", TRUE, _xlfn.UNIQUE(IF((A$2:A$100 = R21) * (D$2:D$100 = S21), L$2:L$100, "")))</f>
        <v/>
      </c>
      <c r="AC21" s="44" t="str">
        <f t="shared" si="2"/>
        <v>Disease Severity</v>
      </c>
      <c r="AD21" s="51" t="str">
        <f t="shared" si="3"/>
        <v>RRR</v>
      </c>
      <c r="AE21" s="51" t="e">
        <f t="shared" si="7"/>
        <v>#VALUE!</v>
      </c>
      <c r="AF21" s="51" t="str">
        <f t="shared" si="8"/>
        <v>NA</v>
      </c>
      <c r="AG21" s="51" t="str">
        <f t="shared" si="9"/>
        <v>NA</v>
      </c>
      <c r="AH21" s="51" t="str" cm="1">
        <f t="array" ref="AH21">IFERROR(_xlfn.TEXTJOIN(", ", TRUE, _xlfn.UNIQUE(_xlfn._xlws.FILTER(K$2:K$100, (A$2:A$100 = R21) * (D$2:D$100 = S21) * ((J$2:J$100 &lt;= 0.05))))), "")</f>
        <v/>
      </c>
      <c r="AI21" s="51" t="str" cm="1">
        <f t="array" ref="AI21">_xlfn.TEXTJOIN(", ", TRUE, _xlfn.UNIQUE(IF((A$2:A$100 = R21) * (D$2:D$100 = S21) * ((J$2:J$100 &lt;= 0.05)), L$2:L$100, "")))</f>
        <v/>
      </c>
      <c r="AJ21" s="51" t="str">
        <f t="shared" si="14"/>
        <v>OR / RRR</v>
      </c>
      <c r="AK21" s="1"/>
      <c r="AM21" s="44" t="str">
        <f t="shared" si="20"/>
        <v>Musculoskeletal Diseases</v>
      </c>
      <c r="AN21" s="46" t="str">
        <f t="shared" si="21"/>
        <v>ME</v>
      </c>
      <c r="AO21" s="194" t="str">
        <f t="shared" si="15"/>
        <v>NO DATA</v>
      </c>
      <c r="AP21" s="200">
        <f t="shared" si="12"/>
        <v>0</v>
      </c>
      <c r="AQ21" s="46">
        <f t="shared" si="13"/>
        <v>0</v>
      </c>
      <c r="AR21" s="51" t="str" cm="1">
        <f t="array" ref="AR21">_xlfn.TEXTJOIN(", ", TRUE, _xlfn.UNIQUE(IF((AC$2:AC$100 = AM21) * (AJ$2:AJ$100 = AN21), AH$2:AH$100, "")))</f>
        <v/>
      </c>
      <c r="AS21" s="51" t="str" cm="1">
        <f t="array" ref="AS21">_xlfn.TEXTJOIN(", ", TRUE, _xlfn.UNIQUE(IF((AC$2:AC$100 = AM21) * (AJ$2:AJ$100 = AN21), AI$2:AI$100, "")))</f>
        <v/>
      </c>
      <c r="BB21" s="6" t="str">
        <v>Symptomatic vs Curative</v>
      </c>
      <c r="BC21" s="6" t="str" cm="1">
        <f t="array" ref="BC21">INDEX($BB$1:$BB$100,INT((ROW(A21)-1)/3)+1)</f>
        <v>Disease Severity</v>
      </c>
      <c r="BD21" s="6" t="str" cm="1">
        <f t="array" ref="BD21">INDEX({"OR","RRR","ME"},MOD(ROW(AJ21)-1,3)+1)</f>
        <v>ME</v>
      </c>
      <c r="BF21" s="1" t="str" cm="1">
        <f t="array" ref="BF21">INDEX($BB$1:$BB$100,INT((ROW(A21)-1)/2)+1)</f>
        <v>Oncology</v>
      </c>
      <c r="BG21" s="6" t="str" cm="1">
        <f t="array" ref="BG21">INDEX({"OR / RRR";"ME"}, MOD(ROW(AJ21)-1, 2)+1)</f>
        <v>OR / RRR</v>
      </c>
    </row>
    <row r="22" spans="1:59" ht="165">
      <c r="A22" s="106" t="s">
        <v>962</v>
      </c>
      <c r="B22" s="106" t="s">
        <v>907</v>
      </c>
      <c r="C22" s="96" t="s">
        <v>964</v>
      </c>
      <c r="D22" s="106" t="s">
        <v>879</v>
      </c>
      <c r="E22" s="126">
        <v>3.18</v>
      </c>
      <c r="F22" s="126">
        <v>1</v>
      </c>
      <c r="G22" s="126">
        <v>10.11</v>
      </c>
      <c r="H22" s="126"/>
      <c r="I22" s="126"/>
      <c r="J22" s="96" t="s">
        <v>965</v>
      </c>
      <c r="K22" s="96" t="s">
        <v>365</v>
      </c>
      <c r="L22" s="100" t="s">
        <v>909</v>
      </c>
      <c r="R22" s="44" t="str">
        <f t="shared" si="0"/>
        <v>Disease Severity</v>
      </c>
      <c r="S22" s="51" t="str">
        <f t="shared" si="1"/>
        <v>ME</v>
      </c>
      <c r="T22" s="51">
        <f t="shared" si="4"/>
        <v>0.44</v>
      </c>
      <c r="U22" s="199">
        <f t="shared" si="5"/>
        <v>0.44</v>
      </c>
      <c r="V22" s="199">
        <f t="shared" si="6"/>
        <v>0.44</v>
      </c>
      <c r="W22" s="51" t="str" cm="1">
        <f t="array" ref="W22">_xlfn.TEXTJOIN(", ", TRUE, _xlfn.UNIQUE(_xlfn._xlws.FILTER(K$2:K$100, (A$2:A$100 = R22) * (D$2:D$100 = S22))))</f>
        <v>Australia</v>
      </c>
      <c r="X22" s="51" t="str" cm="1">
        <f t="array" ref="X22">_xlfn.TEXTJOIN(", ", TRUE, _xlfn.UNIQUE(IF((A$2:A$100 = R22) * (D$2:D$100 = S22), L$2:L$100, "")))</f>
        <v>(A. H. Harris et al., 2008)</v>
      </c>
      <c r="Y22" s="6">
        <v>1</v>
      </c>
      <c r="AC22" s="44" t="str">
        <f t="shared" si="2"/>
        <v>Disease Severity</v>
      </c>
      <c r="AD22" s="51" t="str">
        <f t="shared" si="3"/>
        <v>ME</v>
      </c>
      <c r="AE22" s="51">
        <f t="shared" si="7"/>
        <v>0.44</v>
      </c>
      <c r="AF22" s="51">
        <f t="shared" si="8"/>
        <v>0.44</v>
      </c>
      <c r="AG22" s="51">
        <f t="shared" si="9"/>
        <v>0.44</v>
      </c>
      <c r="AH22" s="51" t="str" cm="1">
        <f t="array" ref="AH22">IFERROR(_xlfn.TEXTJOIN(", ", TRUE, _xlfn.UNIQUE(_xlfn._xlws.FILTER(K$2:K$100, (A$2:A$100 = R22) * (D$2:D$100 = S22) * ((J$2:J$100 &lt;= 0.05))))), "")</f>
        <v>Australia</v>
      </c>
      <c r="AI22" s="51" t="str" cm="1">
        <f t="array" ref="AI22">_xlfn.TEXTJOIN(", ", TRUE, _xlfn.UNIQUE(IF((A$2:A$100 = R22) * (D$2:D$100 = S22) * ((J$2:J$100 &lt;= 0.05)), L$2:L$100, "")))</f>
        <v>(A. H. Harris et al., 2008)</v>
      </c>
      <c r="AJ22" s="51" t="str">
        <f t="shared" si="14"/>
        <v>ME</v>
      </c>
      <c r="AK22" s="1"/>
      <c r="AM22" s="44" t="str">
        <f t="shared" si="20"/>
        <v>Oncology</v>
      </c>
      <c r="AN22" s="46" t="str">
        <f t="shared" si="21"/>
        <v>OR / RRR</v>
      </c>
      <c r="AO22" s="194" t="str">
        <f t="shared" si="15"/>
        <v>3,06-3,63</v>
      </c>
      <c r="AP22" s="200">
        <f t="shared" si="12"/>
        <v>3.0630000000000002</v>
      </c>
      <c r="AQ22" s="46">
        <f t="shared" si="13"/>
        <v>3.6280000000000001</v>
      </c>
      <c r="AR22" s="51" t="str" cm="1">
        <f t="array" ref="AR22">_xlfn.TEXTJOIN(", ", TRUE, _xlfn.UNIQUE(IF((AC$2:AC$100 = AM22) * (AJ$2:AJ$100 = AN22), AH$2:AH$100, "")))</f>
        <v>Australia, Canada-(CADTH), Canada-(INESSS), England, France-(HAS), Germany, Scotland, Sweden</v>
      </c>
      <c r="AS22" s="51" t="str" cm="1">
        <f t="array" ref="AS22">_xlfn.TEXTJOIN(", ", TRUE, _xlfn.UNIQUE(IF((AC$2:AC$100 = AM22) * (AJ$2:AJ$100 = AN22), AI$2:AI$100, "")))</f>
        <v>(Mills, 2023)</v>
      </c>
      <c r="AT22" s="6">
        <v>1</v>
      </c>
      <c r="BB22" s="6" t="str">
        <v>Ultra Orphan Drug</v>
      </c>
      <c r="BC22" s="6" t="str" cm="1">
        <f t="array" ref="BC22">INDEX($BB$1:$BB$100,INT((ROW(A22)-1)/3)+1)</f>
        <v>Disease Severity - ICER</v>
      </c>
      <c r="BD22" s="6" t="str" cm="1">
        <f t="array" ref="BD22">INDEX({"OR","RRR","ME"},MOD(ROW(AJ22)-1,3)+1)</f>
        <v>OR</v>
      </c>
      <c r="BF22" s="1" t="str" cm="1">
        <f t="array" ref="BF22">INDEX($BB$1:$BB$100,INT((ROW(A22)-1)/2)+1)</f>
        <v>Oncology</v>
      </c>
      <c r="BG22" s="6" t="str" cm="1">
        <f t="array" ref="BG22">INDEX({"OR / RRR";"ME"}, MOD(ROW(AJ22)-1, 2)+1)</f>
        <v>ME</v>
      </c>
    </row>
    <row r="23" spans="1:59" ht="135">
      <c r="A23" s="106" t="s">
        <v>962</v>
      </c>
      <c r="B23" s="150" t="s">
        <v>966</v>
      </c>
      <c r="C23" s="96" t="s">
        <v>964</v>
      </c>
      <c r="D23" s="106" t="s">
        <v>879</v>
      </c>
      <c r="E23" s="126">
        <v>11.1442</v>
      </c>
      <c r="F23" s="126">
        <v>3.0124</v>
      </c>
      <c r="G23" s="126">
        <v>41.2271</v>
      </c>
      <c r="H23" s="126"/>
      <c r="I23" s="126"/>
      <c r="J23" s="96">
        <v>0.05</v>
      </c>
      <c r="K23" s="96" t="s">
        <v>967</v>
      </c>
      <c r="L23" s="100" t="s">
        <v>968</v>
      </c>
      <c r="R23" s="44" t="str">
        <f t="shared" si="0"/>
        <v>Disease Severity - ICER</v>
      </c>
      <c r="S23" s="51" t="str">
        <f t="shared" si="1"/>
        <v>OR</v>
      </c>
      <c r="T23" s="51">
        <f t="shared" si="4"/>
        <v>0.68</v>
      </c>
      <c r="U23" s="199">
        <f t="shared" si="5"/>
        <v>0.68</v>
      </c>
      <c r="V23" s="199">
        <f t="shared" si="6"/>
        <v>0.68</v>
      </c>
      <c r="W23" s="51" t="str" cm="1">
        <f t="array" ref="W23">_xlfn.TEXTJOIN(", ", TRUE, _xlfn.UNIQUE(_xlfn._xlws.FILTER(K$2:K$100, (A$2:A$100 = R23) * (D$2:D$100 = S23))))</f>
        <v>Norway</v>
      </c>
      <c r="X23" s="51" t="str" cm="1">
        <f t="array" ref="X23">_xlfn.TEXTJOIN(", ", TRUE, _xlfn.UNIQUE(IF((A$2:A$100 = R23) * (D$2:D$100 = S23), L$2:L$100, "")))</f>
        <v>(Tranvåg et al., 2022)</v>
      </c>
      <c r="AC23" s="44" t="str">
        <f t="shared" si="2"/>
        <v>Disease Severity - ICER</v>
      </c>
      <c r="AD23" s="51" t="str">
        <f t="shared" si="3"/>
        <v>OR</v>
      </c>
      <c r="AE23" s="51">
        <f t="shared" si="7"/>
        <v>0.68</v>
      </c>
      <c r="AF23" s="51">
        <f t="shared" si="8"/>
        <v>0.68</v>
      </c>
      <c r="AG23" s="51">
        <f t="shared" si="9"/>
        <v>0.68</v>
      </c>
      <c r="AH23" s="51" t="str" cm="1">
        <f t="array" ref="AH23">IFERROR(_xlfn.TEXTJOIN(", ", TRUE, _xlfn.UNIQUE(_xlfn._xlws.FILTER(K$2:K$100, (A$2:A$100 = R23) * (D$2:D$100 = S23) * ((J$2:J$100 &lt;= 0.05))))), "")</f>
        <v>Norway</v>
      </c>
      <c r="AI23" s="51" t="str" cm="1">
        <f t="array" ref="AI23">_xlfn.TEXTJOIN(", ", TRUE, _xlfn.UNIQUE(IF((A$2:A$100 = R23) * (D$2:D$100 = S23) * ((J$2:J$100 &lt;= 0.05)), L$2:L$100, "")))</f>
        <v>(Tranvåg et al., 2022)</v>
      </c>
      <c r="AJ23" s="51" t="str">
        <f t="shared" si="14"/>
        <v>OR / RRR</v>
      </c>
      <c r="AM23" s="44" t="str">
        <f t="shared" si="20"/>
        <v>Oncology</v>
      </c>
      <c r="AN23" s="46" t="str">
        <f t="shared" si="21"/>
        <v>ME</v>
      </c>
      <c r="AO23" s="194" t="str">
        <f t="shared" si="15"/>
        <v>0,03-0,33</v>
      </c>
      <c r="AP23" s="200">
        <f t="shared" si="12"/>
        <v>3.4000000000000002E-2</v>
      </c>
      <c r="AQ23" s="46">
        <f t="shared" si="13"/>
        <v>0.33</v>
      </c>
      <c r="AR23" s="51" t="str" cm="1">
        <f t="array" ref="AR23">_xlfn.TEXTJOIN(", ", TRUE, _xlfn.UNIQUE(IF((AC$2:AC$100 = AM23) * (AJ$2:AJ$100 = AN23), AH$2:AH$100, "")))</f>
        <v>Sweden, Scotland, France-(HAS), Germany, England, CANADA-(CADTH), Australia</v>
      </c>
      <c r="AS23" s="51" t="str" cm="1">
        <f t="array" ref="AS23">_xlfn.TEXTJOIN(", ", TRUE, _xlfn.UNIQUE(IF((AC$2:AC$100 = AM23) * (AJ$2:AJ$100 = AN23), AI$2:AI$100, "")))</f>
        <v>(Kanavos et al., 2023)</v>
      </c>
      <c r="AT23" s="6">
        <v>1</v>
      </c>
      <c r="BB23" s="6" t="str">
        <v>Unmet Need</v>
      </c>
      <c r="BC23" s="6" t="str" cm="1">
        <f t="array" ref="BC23">INDEX($BB$1:$BB$100,INT((ROW(A23)-1)/3)+1)</f>
        <v>Disease Severity - ICER</v>
      </c>
      <c r="BD23" s="6" t="str" cm="1">
        <f t="array" ref="BD23">INDEX({"OR","RRR","ME"},MOD(ROW(AJ23)-1,3)+1)</f>
        <v>RRR</v>
      </c>
      <c r="BF23" s="1" t="str" cm="1">
        <f t="array" ref="BF23">INDEX($BB$1:$BB$100,INT((ROW(A23)-1)/2)+1)</f>
        <v>Orphan Drug</v>
      </c>
      <c r="BG23" s="6" t="str" cm="1">
        <f t="array" ref="BG23">INDEX({"OR / RRR";"ME"}, MOD(ROW(AJ23)-1, 2)+1)</f>
        <v>OR / RRR</v>
      </c>
    </row>
    <row r="24" spans="1:59" ht="90">
      <c r="A24" s="106" t="s">
        <v>962</v>
      </c>
      <c r="B24" s="106" t="s">
        <v>903</v>
      </c>
      <c r="C24" s="96" t="s">
        <v>962</v>
      </c>
      <c r="D24" s="106" t="s">
        <v>879</v>
      </c>
      <c r="E24" s="126">
        <v>11.805</v>
      </c>
      <c r="F24" s="126">
        <v>0.81399999999999995</v>
      </c>
      <c r="G24" s="126">
        <v>168.209</v>
      </c>
      <c r="H24" s="126"/>
      <c r="I24" s="126"/>
      <c r="J24" s="96" t="s">
        <v>886</v>
      </c>
      <c r="K24" s="96" t="s">
        <v>182</v>
      </c>
      <c r="L24" s="100" t="s">
        <v>905</v>
      </c>
      <c r="R24" s="44" t="str">
        <f t="shared" si="0"/>
        <v>Disease Severity - ICER</v>
      </c>
      <c r="S24" s="51" t="str">
        <f t="shared" si="1"/>
        <v>RRR</v>
      </c>
      <c r="T24" s="51" t="str">
        <f t="shared" si="4"/>
        <v>NO DATA</v>
      </c>
      <c r="U24" s="199">
        <f t="shared" si="5"/>
        <v>0</v>
      </c>
      <c r="V24" s="199">
        <f t="shared" si="6"/>
        <v>0</v>
      </c>
      <c r="W24" s="51" t="e" cm="1" vm="1">
        <f t="array" ref="W24">_xlfn.TEXTJOIN(", ", TRUE, _xlfn.UNIQUE(_xlfn._xlws.FILTER(K$2:K$100, (A$2:A$100 = R24) * (D$2:D$100 = S24))))</f>
        <v>#VALUE!</v>
      </c>
      <c r="X24" s="51" t="str" cm="1">
        <f t="array" ref="X24">_xlfn.TEXTJOIN(", ", TRUE, _xlfn.UNIQUE(IF((A$2:A$100 = R24) * (D$2:D$100 = S24), L$2:L$100, "")))</f>
        <v/>
      </c>
      <c r="AC24" s="44" t="str">
        <f t="shared" si="2"/>
        <v>Disease Severity - ICER</v>
      </c>
      <c r="AD24" s="51" t="str">
        <f t="shared" si="3"/>
        <v>RRR</v>
      </c>
      <c r="AE24" s="51" t="e">
        <f t="shared" si="7"/>
        <v>#VALUE!</v>
      </c>
      <c r="AF24" s="51" t="str">
        <f t="shared" si="8"/>
        <v>NA</v>
      </c>
      <c r="AG24" s="51" t="str">
        <f t="shared" si="9"/>
        <v>NA</v>
      </c>
      <c r="AH24" s="51" t="str" cm="1">
        <f t="array" ref="AH24">IFERROR(_xlfn.TEXTJOIN(", ", TRUE, _xlfn.UNIQUE(_xlfn._xlws.FILTER(K$2:K$100, (A$2:A$100 = R24) * (D$2:D$100 = S24) * ((J$2:J$100 &lt;= 0.05))))), "")</f>
        <v/>
      </c>
      <c r="AI24" s="51" t="str" cm="1">
        <f t="array" ref="AI24">_xlfn.TEXTJOIN(", ", TRUE, _xlfn.UNIQUE(IF((A$2:A$100 = R24) * (D$2:D$100 = S24) * ((J$2:J$100 &lt;= 0.05)), L$2:L$100, "")))</f>
        <v/>
      </c>
      <c r="AJ24" s="51" t="str">
        <f t="shared" si="14"/>
        <v>OR / RRR</v>
      </c>
      <c r="AM24" s="44" t="str">
        <f t="shared" si="20"/>
        <v>Orphan Drug</v>
      </c>
      <c r="AN24" s="46" t="str">
        <f t="shared" si="21"/>
        <v>OR / RRR</v>
      </c>
      <c r="AO24" s="194">
        <f t="shared" si="15"/>
        <v>9.1199999999999992</v>
      </c>
      <c r="AP24" s="200">
        <f t="shared" si="12"/>
        <v>9.1189999999999998</v>
      </c>
      <c r="AQ24" s="46">
        <f t="shared" si="13"/>
        <v>9.1189999999999998</v>
      </c>
      <c r="AR24" s="51" t="str" cm="1">
        <f t="array" ref="AR24">_xlfn.TEXTJOIN(", ", TRUE, _xlfn.UNIQUE(IF((AC$2:AC$100 = AM24) * (AJ$2:AJ$100 = AN24), AH$2:AH$100, "")))</f>
        <v>CANADA-(INESSS), CANADA-(CADTH) Scotland, UK, France</v>
      </c>
      <c r="AS24" s="51" t="str" cm="1">
        <f t="array" ref="AS24">_xlfn.TEXTJOIN(", ", TRUE, _xlfn.UNIQUE(IF((AC$2:AC$100 = AM24) * (AJ$2:AJ$100 = AN24), AI$2:AI$100, "")))</f>
        <v>(Mills, 2023)</v>
      </c>
      <c r="AT24" s="6">
        <v>1</v>
      </c>
      <c r="BB24" s="6" t="str">
        <v>Unstable</v>
      </c>
      <c r="BC24" s="6" t="str" cm="1">
        <f t="array" ref="BC24">INDEX($BB$1:$BB$100,INT((ROW(A24)-1)/3)+1)</f>
        <v>Disease Severity - ICER</v>
      </c>
      <c r="BD24" s="6" t="str" cm="1">
        <f t="array" ref="BD24">INDEX({"OR","RRR","ME"},MOD(ROW(AJ24)-1,3)+1)</f>
        <v>ME</v>
      </c>
      <c r="BF24" s="1" t="str" cm="1">
        <f t="array" ref="BF24">INDEX($BB$1:$BB$100,INT((ROW(A24)-1)/2)+1)</f>
        <v>Orphan Drug</v>
      </c>
      <c r="BG24" s="6" t="str" cm="1">
        <f t="array" ref="BG24">INDEX({"OR / RRR";"ME"}, MOD(ROW(AJ24)-1, 2)+1)</f>
        <v>ME</v>
      </c>
    </row>
    <row r="25" spans="1:59" ht="180">
      <c r="A25" s="106" t="s">
        <v>962</v>
      </c>
      <c r="B25" s="106" t="s">
        <v>969</v>
      </c>
      <c r="C25" s="96" t="s">
        <v>970</v>
      </c>
      <c r="D25" s="106" t="s">
        <v>879</v>
      </c>
      <c r="E25" s="126">
        <f>EXP(1.568)</f>
        <v>4.7970445042783547</v>
      </c>
      <c r="F25" s="126">
        <f>EXP(1.568-1.96*0.913)</f>
        <v>0.80133194862664214</v>
      </c>
      <c r="G25" s="126">
        <f>EXP(1.568+1.96*0.913)</f>
        <v>28.716733452928601</v>
      </c>
      <c r="H25" s="126"/>
      <c r="I25" s="126"/>
      <c r="J25" s="96">
        <v>0.1</v>
      </c>
      <c r="K25" s="96" t="s">
        <v>122</v>
      </c>
      <c r="L25" s="92" t="s">
        <v>971</v>
      </c>
      <c r="R25" s="44" t="str">
        <f t="shared" si="0"/>
        <v>Disease Severity - ICER</v>
      </c>
      <c r="S25" s="51" t="str">
        <f t="shared" si="1"/>
        <v>ME</v>
      </c>
      <c r="T25" s="51" t="str">
        <f t="shared" si="4"/>
        <v>NO DATA</v>
      </c>
      <c r="U25" s="199">
        <f t="shared" si="5"/>
        <v>0</v>
      </c>
      <c r="V25" s="199">
        <f t="shared" si="6"/>
        <v>0</v>
      </c>
      <c r="W25" s="51" t="e" cm="1" vm="1">
        <f t="array" ref="W25">_xlfn.TEXTJOIN(", ", TRUE, _xlfn.UNIQUE(_xlfn._xlws.FILTER(K$2:K$100, (A$2:A$100 = R25) * (D$2:D$100 = S25))))</f>
        <v>#VALUE!</v>
      </c>
      <c r="X25" s="51" t="str" cm="1">
        <f t="array" ref="X25">_xlfn.TEXTJOIN(", ", TRUE, _xlfn.UNIQUE(IF((A$2:A$100 = R25) * (D$2:D$100 = S25), L$2:L$100, "")))</f>
        <v/>
      </c>
      <c r="AC25" s="44" t="str">
        <f t="shared" si="2"/>
        <v>Disease Severity - ICER</v>
      </c>
      <c r="AD25" s="51" t="str">
        <f t="shared" si="3"/>
        <v>ME</v>
      </c>
      <c r="AE25" s="51" t="e">
        <f t="shared" si="7"/>
        <v>#VALUE!</v>
      </c>
      <c r="AF25" s="51" t="str">
        <f t="shared" si="8"/>
        <v>NA</v>
      </c>
      <c r="AG25" s="51" t="str">
        <f t="shared" si="9"/>
        <v>NA</v>
      </c>
      <c r="AH25" s="51" t="str" cm="1">
        <f t="array" ref="AH25">IFERROR(_xlfn.TEXTJOIN(", ", TRUE, _xlfn.UNIQUE(_xlfn._xlws.FILTER(K$2:K$100, (A$2:A$100 = R25) * (D$2:D$100 = S25) * ((J$2:J$100 &lt;= 0.05))))), "")</f>
        <v/>
      </c>
      <c r="AI25" s="51" t="str" cm="1">
        <f t="array" ref="AI25">_xlfn.TEXTJOIN(", ", TRUE, _xlfn.UNIQUE(IF((A$2:A$100 = R25) * (D$2:D$100 = S25) * ((J$2:J$100 &lt;= 0.05)), L$2:L$100, "")))</f>
        <v/>
      </c>
      <c r="AJ25" s="51" t="str">
        <f t="shared" si="14"/>
        <v>ME</v>
      </c>
      <c r="AM25" s="44" t="str">
        <f t="shared" si="20"/>
        <v>Orphan Drug</v>
      </c>
      <c r="AN25" s="46" t="str">
        <f t="shared" si="21"/>
        <v>ME</v>
      </c>
      <c r="AO25" s="194" t="str">
        <f t="shared" si="15"/>
        <v>0,03-0,29</v>
      </c>
      <c r="AP25" s="200">
        <f t="shared" si="12"/>
        <v>2.7E-2</v>
      </c>
      <c r="AQ25" s="46">
        <f t="shared" si="13"/>
        <v>0.28999999999999998</v>
      </c>
      <c r="AR25" s="51" t="str" cm="1">
        <f t="array" ref="AR25">_xlfn.TEXTJOIN(", ", TRUE, _xlfn.UNIQUE(IF((AC$2:AC$100 = AM25) * (AJ$2:AJ$100 = AN25), AH$2:AH$100, "")))</f>
        <v>CANADA-(CADTH), Scotland, UK, Sweden, Australia, France-(HAS), Germany, England, Canada-(INESSS)</v>
      </c>
      <c r="AS25" s="51" t="str" cm="1">
        <f t="array" ref="AS25">_xlfn.TEXTJOIN(", ", TRUE, _xlfn.UNIQUE(IF((AC$2:AC$100 = AM25) * (AJ$2:AJ$100 = AN25), AI$2:AI$100, "")))</f>
        <v>(Mills, 2023), (Kanavos et al., 2023)</v>
      </c>
      <c r="AT25" s="6">
        <v>2</v>
      </c>
      <c r="BC25" s="6" t="str" cm="1">
        <f t="array" ref="BC25">INDEX($BB$1:$BB$100,INT((ROW(A25)-1)/3)+1)</f>
        <v>Infectious Diseases</v>
      </c>
      <c r="BD25" s="6" t="str" cm="1">
        <f t="array" ref="BD25">INDEX({"OR","RRR","ME"},MOD(ROW(AJ25)-1,3)+1)</f>
        <v>OR</v>
      </c>
      <c r="BF25" s="1" t="str" cm="1">
        <f t="array" ref="BF25">INDEX($BB$1:$BB$100,INT((ROW(A25)-1)/2)+1)</f>
        <v>Paediatric</v>
      </c>
      <c r="BG25" s="6" t="str" cm="1">
        <f t="array" ref="BG25">INDEX({"OR / RRR";"ME"}, MOD(ROW(AJ25)-1, 2)+1)</f>
        <v>OR / RRR</v>
      </c>
    </row>
    <row r="26" spans="1:59" ht="75">
      <c r="A26" s="106" t="s">
        <v>962</v>
      </c>
      <c r="B26" s="106" t="s">
        <v>878</v>
      </c>
      <c r="C26" s="96" t="s">
        <v>972</v>
      </c>
      <c r="D26" s="106" t="s">
        <v>879</v>
      </c>
      <c r="E26" s="126">
        <v>2.9561000000000002</v>
      </c>
      <c r="F26" s="126">
        <v>0.3972</v>
      </c>
      <c r="G26" s="126">
        <v>22</v>
      </c>
      <c r="H26" s="126"/>
      <c r="I26" s="126"/>
      <c r="J26" s="96">
        <v>0.42559999999999998</v>
      </c>
      <c r="K26" s="96" t="s">
        <v>880</v>
      </c>
      <c r="L26" s="92" t="s">
        <v>881</v>
      </c>
      <c r="R26" s="44" t="str">
        <f t="shared" si="0"/>
        <v>Infectious Diseases</v>
      </c>
      <c r="S26" s="51" t="str">
        <f t="shared" si="1"/>
        <v>OR</v>
      </c>
      <c r="T26" s="51">
        <f t="shared" si="4"/>
        <v>2.21</v>
      </c>
      <c r="U26" s="199">
        <f t="shared" si="5"/>
        <v>2.2090000000000001</v>
      </c>
      <c r="V26" s="199">
        <f t="shared" si="6"/>
        <v>2.2090000000000001</v>
      </c>
      <c r="W26" s="51" t="str" cm="1">
        <f t="array" ref="W26">_xlfn.TEXTJOIN(", ", TRUE, _xlfn.UNIQUE(_xlfn._xlws.FILTER(K$2:K$100, (A$2:A$100 = R26) * (D$2:D$100 = S26))))</f>
        <v>UK</v>
      </c>
      <c r="X26" s="51" t="str" cm="1">
        <f t="array" ref="X26">_xlfn.TEXTJOIN(", ", TRUE, _xlfn.UNIQUE(IF((A$2:A$100 = R26) * (D$2:D$100 = S26), L$2:L$100, "")))</f>
        <v>(H. Dakin, Devlin, Feng, Rice, O’Neill, et al., 2015)</v>
      </c>
      <c r="AC26" s="44" t="str">
        <f t="shared" si="2"/>
        <v>Infectious Diseases</v>
      </c>
      <c r="AD26" s="51" t="str">
        <f t="shared" si="3"/>
        <v>OR</v>
      </c>
      <c r="AE26" s="51" t="e">
        <f t="shared" si="7"/>
        <v>#VALUE!</v>
      </c>
      <c r="AF26" s="51" t="str">
        <f t="shared" si="8"/>
        <v>NA</v>
      </c>
      <c r="AG26" s="51" t="str">
        <f t="shared" si="9"/>
        <v>NA</v>
      </c>
      <c r="AH26" s="51" t="str" cm="1">
        <f t="array" ref="AH26">IFERROR(_xlfn.TEXTJOIN(", ", TRUE, _xlfn.UNIQUE(_xlfn._xlws.FILTER(K$2:K$100, (A$2:A$100 = R26) * (D$2:D$100 = S26) * ((J$2:J$100 &lt;= 0.05))))), "")</f>
        <v/>
      </c>
      <c r="AI26" s="51" t="str" cm="1">
        <f t="array" ref="AI26">_xlfn.TEXTJOIN(", ", TRUE, _xlfn.UNIQUE(IF((A$2:A$100 = R26) * (D$2:D$100 = S26) * ((J$2:J$100 &lt;= 0.05)), L$2:L$100, "")))</f>
        <v/>
      </c>
      <c r="AJ26" s="51" t="str">
        <f t="shared" si="14"/>
        <v>OR / RRR</v>
      </c>
      <c r="AM26" s="44" t="str">
        <f>BF25</f>
        <v>Paediatric</v>
      </c>
      <c r="AN26" s="46" t="str">
        <f>BG25</f>
        <v>OR / RRR</v>
      </c>
      <c r="AO26" s="194" t="str">
        <f t="shared" si="15"/>
        <v>NO DATA</v>
      </c>
      <c r="AP26" s="200">
        <f t="shared" si="12"/>
        <v>0</v>
      </c>
      <c r="AQ26" s="46">
        <f t="shared" si="13"/>
        <v>0</v>
      </c>
      <c r="AR26" s="51" t="str" cm="1">
        <f t="array" ref="AR26">_xlfn.TEXTJOIN(", ", TRUE, _xlfn.UNIQUE(IF((AC$2:AC$100 = AM26) * (AJ$2:AJ$100 = AN26), AH$2:AH$100, "")))</f>
        <v/>
      </c>
      <c r="AS26" s="51" t="str" cm="1">
        <f t="array" ref="AS26">_xlfn.TEXTJOIN(", ", TRUE, _xlfn.UNIQUE(IF((AC$2:AC$100 = AM26) * (AJ$2:AJ$100 = AN26), AI$2:AI$100, "")))</f>
        <v/>
      </c>
      <c r="BC26" s="6" t="str" cm="1">
        <f t="array" ref="BC26">INDEX($BB$1:$BB$100,INT((ROW(A26)-1)/3)+1)</f>
        <v>Infectious Diseases</v>
      </c>
      <c r="BD26" s="6" t="str" cm="1">
        <f t="array" ref="BD26">INDEX({"OR","RRR","ME"},MOD(ROW(AJ26)-1,3)+1)</f>
        <v>RRR</v>
      </c>
      <c r="BF26" s="1" t="str" cm="1">
        <f t="array" ref="BF26">INDEX($BB$1:$BB$100,INT((ROW(A26)-1)/2)+1)</f>
        <v>Paediatric</v>
      </c>
      <c r="BG26" s="6" t="str" cm="1">
        <f t="array" ref="BG26">INDEX({"OR / RRR";"ME"}, MOD(ROW(AJ26)-1, 2)+1)</f>
        <v>ME</v>
      </c>
    </row>
    <row r="27" spans="1:59" ht="45">
      <c r="A27" s="106" t="s">
        <v>962</v>
      </c>
      <c r="B27" s="106" t="s">
        <v>878</v>
      </c>
      <c r="C27" s="96" t="s">
        <v>973</v>
      </c>
      <c r="D27" s="106" t="s">
        <v>879</v>
      </c>
      <c r="E27" s="126">
        <v>1.383</v>
      </c>
      <c r="F27" s="126">
        <v>0.39500000000000002</v>
      </c>
      <c r="G27" s="126">
        <v>4.8419999999999996</v>
      </c>
      <c r="H27" s="126"/>
      <c r="I27" s="126"/>
      <c r="J27" s="96" t="s">
        <v>886</v>
      </c>
      <c r="K27" s="96" t="s">
        <v>840</v>
      </c>
      <c r="L27" s="92" t="s">
        <v>974</v>
      </c>
      <c r="R27" s="44" t="str">
        <f t="shared" si="0"/>
        <v>Infectious Diseases</v>
      </c>
      <c r="S27" s="51" t="str">
        <f t="shared" si="1"/>
        <v>RRR</v>
      </c>
      <c r="T27" s="51" t="str">
        <f t="shared" si="4"/>
        <v>NO DATA</v>
      </c>
      <c r="U27" s="199">
        <f t="shared" si="5"/>
        <v>0</v>
      </c>
      <c r="V27" s="199">
        <f t="shared" si="6"/>
        <v>0</v>
      </c>
      <c r="W27" s="51" t="e" cm="1" vm="1">
        <f t="array" ref="W27">_xlfn.TEXTJOIN(", ", TRUE, _xlfn.UNIQUE(_xlfn._xlws.FILTER(K$2:K$100, (A$2:A$100 = R27) * (D$2:D$100 = S27))))</f>
        <v>#VALUE!</v>
      </c>
      <c r="X27" s="51" t="str" cm="1">
        <f t="array" ref="X27">_xlfn.TEXTJOIN(", ", TRUE, _xlfn.UNIQUE(IF((A$2:A$100 = R27) * (D$2:D$100 = S27), L$2:L$100, "")))</f>
        <v/>
      </c>
      <c r="AC27" s="44" t="str">
        <f t="shared" si="2"/>
        <v>Infectious Diseases</v>
      </c>
      <c r="AD27" s="51" t="str">
        <f t="shared" si="3"/>
        <v>RRR</v>
      </c>
      <c r="AE27" s="51" t="e">
        <f t="shared" si="7"/>
        <v>#VALUE!</v>
      </c>
      <c r="AF27" s="51" t="str">
        <f t="shared" si="8"/>
        <v>NA</v>
      </c>
      <c r="AG27" s="51" t="str">
        <f t="shared" si="9"/>
        <v>NA</v>
      </c>
      <c r="AH27" s="51" t="str" cm="1">
        <f t="array" ref="AH27">IFERROR(_xlfn.TEXTJOIN(", ", TRUE, _xlfn.UNIQUE(_xlfn._xlws.FILTER(K$2:K$100, (A$2:A$100 = R27) * (D$2:D$100 = S27) * ((J$2:J$100 &lt;= 0.05))))), "")</f>
        <v/>
      </c>
      <c r="AI27" s="51" t="str" cm="1">
        <f t="array" ref="AI27">_xlfn.TEXTJOIN(", ", TRUE, _xlfn.UNIQUE(IF((A$2:A$100 = R27) * (D$2:D$100 = S27) * ((J$2:J$100 &lt;= 0.05)), L$2:L$100, "")))</f>
        <v/>
      </c>
      <c r="AJ27" s="51" t="str">
        <f t="shared" si="14"/>
        <v>OR / RRR</v>
      </c>
      <c r="AM27" s="44" t="str">
        <f t="shared" ref="AM27:AM28" si="22">BF26</f>
        <v>Paediatric</v>
      </c>
      <c r="AN27" s="46" t="str">
        <f t="shared" ref="AN27:AN28" si="23">BG26</f>
        <v>ME</v>
      </c>
      <c r="AO27" s="194" t="str">
        <f t="shared" si="15"/>
        <v>NO DATA</v>
      </c>
      <c r="AP27" s="200">
        <f t="shared" si="12"/>
        <v>0</v>
      </c>
      <c r="AQ27" s="46">
        <f t="shared" si="13"/>
        <v>0</v>
      </c>
      <c r="AR27" s="51" t="str" cm="1">
        <f t="array" ref="AR27">_xlfn.TEXTJOIN(", ", TRUE, _xlfn.UNIQUE(IF((AC$2:AC$100 = AM27) * (AJ$2:AJ$100 = AN27), AH$2:AH$100, "")))</f>
        <v/>
      </c>
      <c r="AS27" s="51" t="str" cm="1">
        <f t="array" ref="AS27">_xlfn.TEXTJOIN(", ", TRUE, _xlfn.UNIQUE(IF((AC$2:AC$100 = AM27) * (AJ$2:AJ$100 = AN27), AI$2:AI$100, "")))</f>
        <v/>
      </c>
      <c r="BC27" s="6" t="str" cm="1">
        <f t="array" ref="BC27">INDEX($BB$1:$BB$100,INT((ROW(A27)-1)/3)+1)</f>
        <v>Infectious Diseases</v>
      </c>
      <c r="BD27" s="6" t="str" cm="1">
        <f t="array" ref="BD27">INDEX({"OR","RRR","ME"},MOD(ROW(AJ27)-1,3)+1)</f>
        <v>ME</v>
      </c>
      <c r="BF27" s="1" t="str" cm="1">
        <f t="array" ref="BF27">INDEX($BB$1:$BB$100,INT((ROW(A27)-1)/2)+1)</f>
        <v>Palliative vs curative - adjuvant</v>
      </c>
      <c r="BG27" s="6" t="str" cm="1">
        <f t="array" ref="BG27">INDEX({"OR / RRR";"ME"}, MOD(ROW(AJ27)-1, 2)+1)</f>
        <v>OR / RRR</v>
      </c>
    </row>
    <row r="28" spans="1:59" ht="90">
      <c r="A28" s="157" t="s">
        <v>962</v>
      </c>
      <c r="B28" s="106" t="s">
        <v>885</v>
      </c>
      <c r="C28" s="190" t="s">
        <v>962</v>
      </c>
      <c r="D28" s="114" t="s">
        <v>879</v>
      </c>
      <c r="E28" s="115">
        <v>1.2749999999999999</v>
      </c>
      <c r="F28" s="115"/>
      <c r="G28" s="115"/>
      <c r="H28" s="115">
        <v>0.69</v>
      </c>
      <c r="I28" s="115"/>
      <c r="J28" s="113" t="s">
        <v>886</v>
      </c>
      <c r="K28" s="191" t="s">
        <v>887</v>
      </c>
      <c r="L28" s="127" t="s">
        <v>888</v>
      </c>
      <c r="R28" s="44" t="str">
        <f t="shared" si="0"/>
        <v>Infectious Diseases</v>
      </c>
      <c r="S28" s="51" t="str">
        <f t="shared" si="1"/>
        <v>ME</v>
      </c>
      <c r="T28" s="51" t="str">
        <f t="shared" si="4"/>
        <v>NO DATA</v>
      </c>
      <c r="U28" s="199">
        <f t="shared" si="5"/>
        <v>0</v>
      </c>
      <c r="V28" s="199">
        <f t="shared" si="6"/>
        <v>0</v>
      </c>
      <c r="W28" s="51" t="e" cm="1" vm="1">
        <f t="array" ref="W28">_xlfn.TEXTJOIN(", ", TRUE, _xlfn.UNIQUE(_xlfn._xlws.FILTER(K$2:K$100, (A$2:A$100 = R28) * (D$2:D$100 = S28))))</f>
        <v>#VALUE!</v>
      </c>
      <c r="X28" s="51" t="str" cm="1">
        <f t="array" ref="X28">_xlfn.TEXTJOIN(", ", TRUE, _xlfn.UNIQUE(IF((A$2:A$100 = R28) * (D$2:D$100 = S28), L$2:L$100, "")))</f>
        <v/>
      </c>
      <c r="AC28" s="44" t="str">
        <f t="shared" si="2"/>
        <v>Infectious Diseases</v>
      </c>
      <c r="AD28" s="51" t="str">
        <f t="shared" si="3"/>
        <v>ME</v>
      </c>
      <c r="AE28" s="51" t="e">
        <f t="shared" si="7"/>
        <v>#VALUE!</v>
      </c>
      <c r="AF28" s="51" t="str">
        <f t="shared" si="8"/>
        <v>NA</v>
      </c>
      <c r="AG28" s="51" t="str">
        <f t="shared" si="9"/>
        <v>NA</v>
      </c>
      <c r="AH28" s="51" t="str" cm="1">
        <f t="array" ref="AH28">IFERROR(_xlfn.TEXTJOIN(", ", TRUE, _xlfn.UNIQUE(_xlfn._xlws.FILTER(K$2:K$100, (A$2:A$100 = R28) * (D$2:D$100 = S28) * ((J$2:J$100 &lt;= 0.05))))), "")</f>
        <v/>
      </c>
      <c r="AI28" s="51" t="str" cm="1">
        <f t="array" ref="AI28">_xlfn.TEXTJOIN(", ", TRUE, _xlfn.UNIQUE(IF((A$2:A$100 = R28) * (D$2:D$100 = S28) * ((J$2:J$100 &lt;= 0.05)), L$2:L$100, "")))</f>
        <v/>
      </c>
      <c r="AJ28" s="51" t="str">
        <f t="shared" si="14"/>
        <v>ME</v>
      </c>
      <c r="AM28" s="44" t="str">
        <f t="shared" si="22"/>
        <v>Palliative vs curative - adjuvant</v>
      </c>
      <c r="AN28" s="46" t="str">
        <f t="shared" si="23"/>
        <v>OR / RRR</v>
      </c>
      <c r="AO28" s="194" t="str">
        <f t="shared" si="15"/>
        <v>NO DATA</v>
      </c>
      <c r="AP28" s="200">
        <f t="shared" si="12"/>
        <v>0</v>
      </c>
      <c r="AQ28" s="46">
        <f t="shared" si="13"/>
        <v>0</v>
      </c>
      <c r="AR28" s="51" t="str" cm="1">
        <f t="array" ref="AR28">_xlfn.TEXTJOIN(", ", TRUE, _xlfn.UNIQUE(IF((AC$2:AC$100 = AM28) * (AJ$2:AJ$100 = AN28), AH$2:AH$100, "")))</f>
        <v/>
      </c>
      <c r="AS28" s="51" t="str" cm="1">
        <f t="array" ref="AS28">_xlfn.TEXTJOIN(", ", TRUE, _xlfn.UNIQUE(IF((AC$2:AC$100 = AM28) * (AJ$2:AJ$100 = AN28), AI$2:AI$100, "")))</f>
        <v/>
      </c>
      <c r="BC28" s="6" t="str" cm="1">
        <f t="array" ref="BC28">INDEX($BB$1:$BB$100,INT((ROW(A28)-1)/3)+1)</f>
        <v>Musculoskeletal Diseases</v>
      </c>
      <c r="BD28" s="6" t="str" cm="1">
        <f t="array" ref="BD28">INDEX({"OR","RRR","ME"},MOD(ROW(AJ28)-1,3)+1)</f>
        <v>OR</v>
      </c>
      <c r="BF28" s="1" t="str" cm="1">
        <f t="array" ref="BF28">INDEX($BB$1:$BB$100,INT((ROW(A28)-1)/2)+1)</f>
        <v>Palliative vs curative - adjuvant</v>
      </c>
      <c r="BG28" s="6" t="str" cm="1">
        <f t="array" ref="BG28">INDEX({"OR / RRR";"ME"}, MOD(ROW(AJ28)-1, 2)+1)</f>
        <v>ME</v>
      </c>
    </row>
    <row r="29" spans="1:59" ht="45">
      <c r="A29" s="134" t="s">
        <v>962</v>
      </c>
      <c r="B29" s="110"/>
      <c r="C29" s="101" t="s">
        <v>975</v>
      </c>
      <c r="D29" s="93" t="s">
        <v>879</v>
      </c>
      <c r="E29" s="95">
        <v>0.91190000000000004</v>
      </c>
      <c r="F29" s="95">
        <v>0.2858</v>
      </c>
      <c r="G29" s="95">
        <v>2.9097</v>
      </c>
      <c r="H29" s="95"/>
      <c r="I29" s="95"/>
      <c r="J29" s="96" t="s">
        <v>886</v>
      </c>
      <c r="K29" s="96" t="s">
        <v>976</v>
      </c>
      <c r="L29" s="92" t="s">
        <v>968</v>
      </c>
      <c r="R29" s="44" t="str">
        <f t="shared" si="0"/>
        <v>Musculoskeletal Diseases</v>
      </c>
      <c r="S29" s="51" t="str">
        <f t="shared" si="1"/>
        <v>OR</v>
      </c>
      <c r="T29" s="51">
        <f t="shared" si="4"/>
        <v>5.73</v>
      </c>
      <c r="U29" s="199">
        <f t="shared" si="5"/>
        <v>5.7320000000000002</v>
      </c>
      <c r="V29" s="199">
        <f t="shared" si="6"/>
        <v>5.7320000000000002</v>
      </c>
      <c r="W29" s="51" t="str" cm="1">
        <f t="array" ref="W29">_xlfn.TEXTJOIN(", ", TRUE, _xlfn.UNIQUE(_xlfn._xlws.FILTER(K$2:K$100, (A$2:A$100 = R29) * (D$2:D$100 = S29))))</f>
        <v>UK</v>
      </c>
      <c r="X29" s="51" t="str" cm="1">
        <f t="array" ref="X29">_xlfn.TEXTJOIN(", ", TRUE, _xlfn.UNIQUE(IF((A$2:A$100 = R29) * (D$2:D$100 = S29), L$2:L$100, "")))</f>
        <v>(H. Dakin, Devlin, Feng, Rice, O’Neill, et al., 2015)</v>
      </c>
      <c r="AC29" s="44" t="str">
        <f t="shared" si="2"/>
        <v>Musculoskeletal Diseases</v>
      </c>
      <c r="AD29" s="51" t="str">
        <f t="shared" si="3"/>
        <v>OR</v>
      </c>
      <c r="AE29" s="51">
        <f t="shared" si="7"/>
        <v>5.73</v>
      </c>
      <c r="AF29" s="51">
        <f t="shared" si="8"/>
        <v>5.7320000000000002</v>
      </c>
      <c r="AG29" s="51">
        <f t="shared" si="9"/>
        <v>5.7320000000000002</v>
      </c>
      <c r="AH29" s="51" t="str" cm="1">
        <f t="array" ref="AH29">IFERROR(_xlfn.TEXTJOIN(", ", TRUE, _xlfn.UNIQUE(_xlfn._xlws.FILTER(K$2:K$100, (A$2:A$100 = R29) * (D$2:D$100 = S29) * ((J$2:J$100 &lt;= 0.05))))), "")</f>
        <v>UK</v>
      </c>
      <c r="AI29" s="51" t="str" cm="1">
        <f t="array" ref="AI29">_xlfn.TEXTJOIN(", ", TRUE, _xlfn.UNIQUE(IF((A$2:A$100 = R29) * (D$2:D$100 = S29) * ((J$2:J$100 &lt;= 0.05)), L$2:L$100, "")))</f>
        <v>(H. Dakin, Devlin, Feng, Rice, O’Neill, et al., 2015)</v>
      </c>
      <c r="AJ29" s="51" t="str">
        <f t="shared" si="14"/>
        <v>OR / RRR</v>
      </c>
      <c r="AM29" s="44" t="str">
        <f>BF28</f>
        <v>Palliative vs curative - adjuvant</v>
      </c>
      <c r="AN29" s="46" t="str">
        <f>BG28</f>
        <v>ME</v>
      </c>
      <c r="AO29" s="194" t="str">
        <f t="shared" si="15"/>
        <v>NO DATA</v>
      </c>
      <c r="AP29" s="200">
        <f t="shared" si="12"/>
        <v>0</v>
      </c>
      <c r="AQ29" s="46">
        <f t="shared" si="13"/>
        <v>0</v>
      </c>
      <c r="AR29" s="51" t="str" cm="1">
        <f t="array" ref="AR29">_xlfn.TEXTJOIN(", ", TRUE, _xlfn.UNIQUE(IF((AC$2:AC$100 = AM29) * (AJ$2:AJ$100 = AN29), AH$2:AH$100, "")))</f>
        <v/>
      </c>
      <c r="AS29" s="51" t="str" cm="1">
        <f t="array" ref="AS29">_xlfn.TEXTJOIN(", ", TRUE, _xlfn.UNIQUE(IF((AC$2:AC$100 = AM29) * (AJ$2:AJ$100 = AN29), AI$2:AI$100, "")))</f>
        <v/>
      </c>
      <c r="BC29" s="6" t="str" cm="1">
        <f t="array" ref="BC29">INDEX($BB$1:$BB$100,INT((ROW(A29)-1)/3)+1)</f>
        <v>Musculoskeletal Diseases</v>
      </c>
      <c r="BD29" s="6" t="str" cm="1">
        <f t="array" ref="BD29">INDEX({"OR","RRR","ME"},MOD(ROW(AJ29)-1,3)+1)</f>
        <v>RRR</v>
      </c>
      <c r="BF29" s="1" t="str" cm="1">
        <f t="array" ref="BF29">INDEX($BB$1:$BB$100,INT((ROW(A29)-1)/2)+1)</f>
        <v>Patient Participation</v>
      </c>
      <c r="BG29" s="6" t="str" cm="1">
        <f t="array" ref="BG29">INDEX({"OR / RRR";"ME"}, MOD(ROW(AJ29)-1, 2)+1)</f>
        <v>OR / RRR</v>
      </c>
    </row>
    <row r="30" spans="1:59" ht="60">
      <c r="A30" s="134" t="s">
        <v>962</v>
      </c>
      <c r="B30" s="110" t="s">
        <v>878</v>
      </c>
      <c r="C30" s="101" t="s">
        <v>962</v>
      </c>
      <c r="D30" s="93" t="s">
        <v>879</v>
      </c>
      <c r="E30" s="95">
        <v>0.39700000000000002</v>
      </c>
      <c r="F30" s="95">
        <v>2.5000000000000001E-2</v>
      </c>
      <c r="G30" s="95">
        <v>6.3620000000000001</v>
      </c>
      <c r="H30" s="95"/>
      <c r="I30" s="95"/>
      <c r="J30" s="96" t="s">
        <v>886</v>
      </c>
      <c r="K30" s="96" t="s">
        <v>840</v>
      </c>
      <c r="L30" s="100" t="s">
        <v>889</v>
      </c>
      <c r="R30" s="44" t="str">
        <f t="shared" si="0"/>
        <v>Musculoskeletal Diseases</v>
      </c>
      <c r="S30" s="51" t="str">
        <f t="shared" si="1"/>
        <v>RRR</v>
      </c>
      <c r="T30" s="51" t="str">
        <f t="shared" si="4"/>
        <v>NO DATA</v>
      </c>
      <c r="U30" s="199">
        <f t="shared" si="5"/>
        <v>0</v>
      </c>
      <c r="V30" s="199">
        <f t="shared" si="6"/>
        <v>0</v>
      </c>
      <c r="W30" s="51" t="e" cm="1" vm="1">
        <f t="array" ref="W30">_xlfn.TEXTJOIN(", ", TRUE, _xlfn.UNIQUE(_xlfn._xlws.FILTER(K$2:K$100, (A$2:A$100 = R30) * (D$2:D$100 = S30))))</f>
        <v>#VALUE!</v>
      </c>
      <c r="X30" s="51" t="str" cm="1">
        <f t="array" ref="X30">_xlfn.TEXTJOIN(", ", TRUE, _xlfn.UNIQUE(IF((A$2:A$100 = R30) * (D$2:D$100 = S30), L$2:L$100, "")))</f>
        <v/>
      </c>
      <c r="AC30" s="44" t="str">
        <f t="shared" si="2"/>
        <v>Musculoskeletal Diseases</v>
      </c>
      <c r="AD30" s="51" t="str">
        <f t="shared" si="3"/>
        <v>RRR</v>
      </c>
      <c r="AE30" s="51" t="e">
        <f t="shared" si="7"/>
        <v>#VALUE!</v>
      </c>
      <c r="AF30" s="51" t="str">
        <f t="shared" si="8"/>
        <v>NA</v>
      </c>
      <c r="AG30" s="51" t="str">
        <f t="shared" si="9"/>
        <v>NA</v>
      </c>
      <c r="AH30" s="51" t="str" cm="1">
        <f t="array" ref="AH30">IFERROR(_xlfn.TEXTJOIN(", ", TRUE, _xlfn.UNIQUE(_xlfn._xlws.FILTER(K$2:K$100, (A$2:A$100 = R30) * (D$2:D$100 = S30) * ((J$2:J$100 &lt;= 0.05))))), "")</f>
        <v/>
      </c>
      <c r="AI30" s="51" t="str" cm="1">
        <f t="array" ref="AI30">_xlfn.TEXTJOIN(", ", TRUE, _xlfn.UNIQUE(IF((A$2:A$100 = R30) * (D$2:D$100 = S30) * ((J$2:J$100 &lt;= 0.05)), L$2:L$100, "")))</f>
        <v/>
      </c>
      <c r="AJ30" s="51" t="str">
        <f t="shared" si="14"/>
        <v>OR / RRR</v>
      </c>
      <c r="AM30" s="44" t="str">
        <f t="shared" ref="AM30:AM33" si="24">BF29</f>
        <v>Patient Participation</v>
      </c>
      <c r="AN30" s="46" t="str">
        <f t="shared" ref="AN30:AN33" si="25">BG29</f>
        <v>OR / RRR</v>
      </c>
      <c r="AO30" s="194">
        <f t="shared" si="15"/>
        <v>0.17</v>
      </c>
      <c r="AP30" s="200">
        <f t="shared" si="12"/>
        <v>0.16696016966704069</v>
      </c>
      <c r="AQ30" s="46">
        <f t="shared" si="13"/>
        <v>0.16696016966704069</v>
      </c>
      <c r="AR30" s="51" t="str" cm="1">
        <f t="array" ref="AR30">_xlfn.TEXTJOIN(", ", TRUE, _xlfn.UNIQUE(IF((AC$2:AC$100 = AM30) * (AJ$2:AJ$100 = AN30), AH$2:AH$100, "")))</f>
        <v>Netherlands</v>
      </c>
      <c r="AS30" s="51" t="str" cm="1">
        <f t="array" ref="AS30">_xlfn.TEXTJOIN(", ", TRUE, _xlfn.UNIQUE(IF((AC$2:AC$100 = AM30) * (AJ$2:AJ$100 = AN30), AI$2:AI$100, "")))</f>
        <v>(Cerri, Knapp, &amp; Fernandez, 2014a)</v>
      </c>
      <c r="BC30" s="6" t="str" cm="1">
        <f t="array" ref="BC30">INDEX($BB$1:$BB$100,INT((ROW(A30)-1)/3)+1)</f>
        <v>Musculoskeletal Diseases</v>
      </c>
      <c r="BD30" s="6" t="str" cm="1">
        <f t="array" ref="BD30">INDEX({"OR","RRR","ME"},MOD(ROW(AJ30)-1,3)+1)</f>
        <v>ME</v>
      </c>
      <c r="BF30" s="1" t="str" cm="1">
        <f t="array" ref="BF30">INDEX($BB$1:$BB$100,INT((ROW(A30)-1)/2)+1)</f>
        <v>Patient Participation</v>
      </c>
      <c r="BG30" s="6" t="str" cm="1">
        <f t="array" ref="BG30">INDEX({"OR / RRR";"ME"}, MOD(ROW(AJ30)-1, 2)+1)</f>
        <v>ME</v>
      </c>
    </row>
    <row r="31" spans="1:59" ht="45">
      <c r="A31" s="134" t="s">
        <v>977</v>
      </c>
      <c r="B31" s="110" t="s">
        <v>969</v>
      </c>
      <c r="C31" s="101" t="s">
        <v>978</v>
      </c>
      <c r="D31" s="93" t="s">
        <v>879</v>
      </c>
      <c r="E31" s="95">
        <v>0.68</v>
      </c>
      <c r="F31" s="95">
        <v>0.54</v>
      </c>
      <c r="G31" s="95">
        <v>0.85</v>
      </c>
      <c r="H31" s="95"/>
      <c r="I31" s="95"/>
      <c r="J31" s="96">
        <v>0.01</v>
      </c>
      <c r="K31" s="96" t="s">
        <v>246</v>
      </c>
      <c r="L31" s="92" t="s">
        <v>979</v>
      </c>
      <c r="R31" s="44" t="str">
        <f t="shared" si="0"/>
        <v>Musculoskeletal Diseases</v>
      </c>
      <c r="S31" s="51" t="str">
        <f t="shared" si="1"/>
        <v>ME</v>
      </c>
      <c r="T31" s="51" t="str">
        <f t="shared" si="4"/>
        <v>NO DATA</v>
      </c>
      <c r="U31" s="199">
        <f t="shared" si="5"/>
        <v>0</v>
      </c>
      <c r="V31" s="199">
        <f t="shared" si="6"/>
        <v>0</v>
      </c>
      <c r="W31" s="51" t="e" cm="1" vm="1">
        <f t="array" ref="W31">_xlfn.TEXTJOIN(", ", TRUE, _xlfn.UNIQUE(_xlfn._xlws.FILTER(K$2:K$100, (A$2:A$100 = R31) * (D$2:D$100 = S31))))</f>
        <v>#VALUE!</v>
      </c>
      <c r="X31" s="51" t="str" cm="1">
        <f t="array" ref="X31">_xlfn.TEXTJOIN(", ", TRUE, _xlfn.UNIQUE(IF((A$2:A$100 = R31) * (D$2:D$100 = S31), L$2:L$100, "")))</f>
        <v/>
      </c>
      <c r="AC31" s="44" t="str">
        <f t="shared" si="2"/>
        <v>Musculoskeletal Diseases</v>
      </c>
      <c r="AD31" s="51" t="str">
        <f t="shared" si="3"/>
        <v>ME</v>
      </c>
      <c r="AE31" s="51" t="e">
        <f t="shared" si="7"/>
        <v>#VALUE!</v>
      </c>
      <c r="AF31" s="51" t="str">
        <f t="shared" si="8"/>
        <v>NA</v>
      </c>
      <c r="AG31" s="51" t="str">
        <f t="shared" si="9"/>
        <v>NA</v>
      </c>
      <c r="AH31" s="51" t="str" cm="1">
        <f t="array" ref="AH31">IFERROR(_xlfn.TEXTJOIN(", ", TRUE, _xlfn.UNIQUE(_xlfn._xlws.FILTER(K$2:K$100, (A$2:A$100 = R31) * (D$2:D$100 = S31) * ((J$2:J$100 &lt;= 0.05))))), "")</f>
        <v/>
      </c>
      <c r="AI31" s="51" t="str" cm="1">
        <f t="array" ref="AI31">_xlfn.TEXTJOIN(", ", TRUE, _xlfn.UNIQUE(IF((A$2:A$100 = R31) * (D$2:D$100 = S31) * ((J$2:J$100 &lt;= 0.05)), L$2:L$100, "")))</f>
        <v/>
      </c>
      <c r="AJ31" s="51" t="str">
        <f t="shared" si="14"/>
        <v>ME</v>
      </c>
      <c r="AM31" s="44" t="str">
        <f t="shared" si="24"/>
        <v>Patient Participation</v>
      </c>
      <c r="AN31" s="46" t="str">
        <f t="shared" si="25"/>
        <v>ME</v>
      </c>
      <c r="AO31" s="194" t="str">
        <f t="shared" si="15"/>
        <v>NO DATA</v>
      </c>
      <c r="AP31" s="200">
        <f t="shared" si="12"/>
        <v>0</v>
      </c>
      <c r="AQ31" s="46">
        <f t="shared" si="13"/>
        <v>0</v>
      </c>
      <c r="AR31" s="51" t="str" cm="1">
        <f t="array" ref="AR31">_xlfn.TEXTJOIN(", ", TRUE, _xlfn.UNIQUE(IF((AC$2:AC$100 = AM31) * (AJ$2:AJ$100 = AN31), AH$2:AH$100, "")))</f>
        <v/>
      </c>
      <c r="AS31" s="51" t="str" cm="1">
        <f t="array" ref="AS31">_xlfn.TEXTJOIN(", ", TRUE, _xlfn.UNIQUE(IF((AC$2:AC$100 = AM31) * (AJ$2:AJ$100 = AN31), AI$2:AI$100, "")))</f>
        <v/>
      </c>
      <c r="BC31" s="6" t="str" cm="1">
        <f t="array" ref="BC31">INDEX($BB$1:$BB$100,INT((ROW(A31)-1)/3)+1)</f>
        <v>Oncology</v>
      </c>
      <c r="BD31" s="6" t="str" cm="1">
        <f t="array" ref="BD31">INDEX({"OR","RRR","ME"},MOD(ROW(AJ31)-1,3)+1)</f>
        <v>OR</v>
      </c>
      <c r="BF31" s="1" t="str" cm="1">
        <f t="array" ref="BF31">INDEX($BB$1:$BB$100,INT((ROW(A31)-1)/2)+1)</f>
        <v>Patient Population Not Reported</v>
      </c>
      <c r="BG31" s="6" t="str" cm="1">
        <f t="array" ref="BG31">INDEX({"OR / RRR";"ME"}, MOD(ROW(AJ31)-1, 2)+1)</f>
        <v>OR / RRR</v>
      </c>
    </row>
    <row r="32" spans="1:59" ht="165">
      <c r="A32" s="134" t="s">
        <v>980</v>
      </c>
      <c r="B32" s="110" t="s">
        <v>878</v>
      </c>
      <c r="C32" s="101" t="s">
        <v>981</v>
      </c>
      <c r="D32" s="93" t="s">
        <v>879</v>
      </c>
      <c r="E32" s="95">
        <v>2.2090000000000001</v>
      </c>
      <c r="F32" s="95">
        <v>0.35899999999999999</v>
      </c>
      <c r="G32" s="95">
        <v>13.593999999999999</v>
      </c>
      <c r="H32" s="95"/>
      <c r="I32" s="95"/>
      <c r="J32" s="96" t="s">
        <v>886</v>
      </c>
      <c r="K32" s="96" t="s">
        <v>840</v>
      </c>
      <c r="L32" s="92" t="s">
        <v>889</v>
      </c>
      <c r="R32" s="44" t="str">
        <f t="shared" si="0"/>
        <v>Oncology</v>
      </c>
      <c r="S32" s="51" t="str">
        <f t="shared" si="1"/>
        <v>OR</v>
      </c>
      <c r="T32" s="51" t="str">
        <f t="shared" si="4"/>
        <v>0,32-3,63</v>
      </c>
      <c r="U32" s="199">
        <f t="shared" si="5"/>
        <v>0.32200000000000001</v>
      </c>
      <c r="V32" s="199">
        <f t="shared" si="6"/>
        <v>3.6280000000000001</v>
      </c>
      <c r="W32" s="51" t="str" cm="1">
        <f t="array" ref="W32">_xlfn.TEXTJOIN(", ", TRUE, _xlfn.UNIQUE(_xlfn._xlws.FILTER(K$2:K$100, (A$2:A$100 = R32) * (D$2:D$100 = S32))))</f>
        <v>Australia, Canada-(CADTH), Canada-(INESSS), England, France-(HAS), Germany, Scotland, Sweden, Australia, UK</v>
      </c>
      <c r="X32" s="51" t="str" cm="1">
        <f t="array" ref="X32">_xlfn.TEXTJOIN(", ", TRUE, _xlfn.UNIQUE(IF((A$2:A$100 = R32) * (D$2:D$100 = S32), L$2:L$100, "")))</f>
        <v>(Mills, 2023), (Chim et al., 2010), (Mauskopf et al., 2013)</v>
      </c>
      <c r="AC32" s="44" t="str">
        <f t="shared" si="2"/>
        <v>Oncology</v>
      </c>
      <c r="AD32" s="51" t="str">
        <f t="shared" si="3"/>
        <v>OR</v>
      </c>
      <c r="AE32" s="51" t="str">
        <f t="shared" si="7"/>
        <v>3,06-3,63</v>
      </c>
      <c r="AF32" s="51">
        <f t="shared" si="8"/>
        <v>3.0630000000000002</v>
      </c>
      <c r="AG32" s="51">
        <f t="shared" si="9"/>
        <v>3.6280000000000001</v>
      </c>
      <c r="AH32" s="51" t="str" cm="1">
        <f t="array" ref="AH32">IFERROR(_xlfn.TEXTJOIN(", ", TRUE, _xlfn.UNIQUE(_xlfn._xlws.FILTER(K$2:K$100, (A$2:A$100 = R32) * (D$2:D$100 = S32) * ((J$2:J$100 &lt;= 0.05))))), "")</f>
        <v>Australia, Canada-(CADTH), Canada-(INESSS), England, France-(HAS), Germany, Scotland, Sweden</v>
      </c>
      <c r="AI32" s="51" t="str" cm="1">
        <f t="array" ref="AI32">_xlfn.TEXTJOIN(", ", TRUE, _xlfn.UNIQUE(IF((A$2:A$100 = R32) * (D$2:D$100 = S32) * ((J$2:J$100 &lt;= 0.05)), L$2:L$100, "")))</f>
        <v>(Mills, 2023)</v>
      </c>
      <c r="AJ32" s="51" t="str">
        <f t="shared" si="14"/>
        <v>OR / RRR</v>
      </c>
      <c r="AM32" s="44" t="str">
        <f t="shared" si="24"/>
        <v>Patient Population Not Reported</v>
      </c>
      <c r="AN32" s="46" t="str">
        <f t="shared" si="25"/>
        <v>OR / RRR</v>
      </c>
      <c r="AO32" s="194" t="str">
        <f t="shared" si="15"/>
        <v>NO DATA</v>
      </c>
      <c r="AP32" s="200">
        <f t="shared" si="12"/>
        <v>0</v>
      </c>
      <c r="AQ32" s="46">
        <f t="shared" si="13"/>
        <v>0</v>
      </c>
      <c r="AR32" s="51" t="str" cm="1">
        <f t="array" ref="AR32">_xlfn.TEXTJOIN(", ", TRUE, _xlfn.UNIQUE(IF((AC$2:AC$100 = AM32) * (AJ$2:AJ$100 = AN32), AH$2:AH$100, "")))</f>
        <v/>
      </c>
      <c r="AS32" s="51" t="str" cm="1">
        <f t="array" ref="AS32">_xlfn.TEXTJOIN(", ", TRUE, _xlfn.UNIQUE(IF((AC$2:AC$100 = AM32) * (AJ$2:AJ$100 = AN32), AI$2:AI$100, "")))</f>
        <v/>
      </c>
      <c r="BC32" s="6" t="str" cm="1">
        <f t="array" ref="BC32">INDEX($BB$1:$BB$100,INT((ROW(A32)-1)/3)+1)</f>
        <v>Oncology</v>
      </c>
      <c r="BD32" s="6" t="str" cm="1">
        <f t="array" ref="BD32">INDEX({"OR","RRR","ME"},MOD(ROW(AJ32)-1,3)+1)</f>
        <v>RRR</v>
      </c>
      <c r="BF32" s="1" t="str" cm="1">
        <f t="array" ref="BF32">INDEX($BB$1:$BB$100,INT((ROW(A32)-1)/2)+1)</f>
        <v>Patient Population Not Reported</v>
      </c>
      <c r="BG32" s="6" t="str" cm="1">
        <f t="array" ref="BG32">INDEX({"OR / RRR";"ME"}, MOD(ROW(AJ32)-1, 2)+1)</f>
        <v>ME</v>
      </c>
    </row>
    <row r="33" spans="1:59" ht="165">
      <c r="A33" s="134" t="s">
        <v>982</v>
      </c>
      <c r="B33" s="110" t="s">
        <v>878</v>
      </c>
      <c r="C33" s="101" t="s">
        <v>983</v>
      </c>
      <c r="D33" s="93" t="s">
        <v>879</v>
      </c>
      <c r="E33" s="95">
        <v>5.7320000000000002</v>
      </c>
      <c r="F33" s="95">
        <v>1.615</v>
      </c>
      <c r="G33" s="95">
        <v>20.343</v>
      </c>
      <c r="H33" s="95"/>
      <c r="I33" s="95"/>
      <c r="J33" s="96">
        <v>0.05</v>
      </c>
      <c r="K33" s="96" t="s">
        <v>840</v>
      </c>
      <c r="L33" s="92" t="s">
        <v>889</v>
      </c>
      <c r="R33" s="44" t="str">
        <f t="shared" si="0"/>
        <v>Oncology</v>
      </c>
      <c r="S33" s="51" t="str">
        <f t="shared" si="1"/>
        <v>RRR</v>
      </c>
      <c r="T33" s="51" t="str">
        <f t="shared" si="4"/>
        <v>0,77-2,01</v>
      </c>
      <c r="U33" s="199">
        <f t="shared" si="5"/>
        <v>0.77400000000000002</v>
      </c>
      <c r="V33" s="199">
        <f t="shared" si="6"/>
        <v>2.0137527074704766</v>
      </c>
      <c r="W33" s="51" t="str" cm="1">
        <f t="array" ref="W33">_xlfn.TEXTJOIN(", ", TRUE, _xlfn.UNIQUE(_xlfn._xlws.FILTER(K$2:K$100, (A$2:A$100 = R33) * (D$2:D$100 = S33))))</f>
        <v>Netherlands, Australia, Canada-(CADTH), Canada-(INESSS), England, France-(HAS), Germany, Scotland, Sweden</v>
      </c>
      <c r="X33" s="51" t="str" cm="1">
        <f t="array" ref="X33">_xlfn.TEXTJOIN(", ", TRUE, _xlfn.UNIQUE(IF((A$2:A$100 = R33) * (D$2:D$100 = S33), L$2:L$100, "")))</f>
        <v>(Cerri, Knapp, &amp; Fernandez, 2014a), (Kanavos et al., 2023)</v>
      </c>
      <c r="AC33" s="44" t="str">
        <f t="shared" si="2"/>
        <v>Oncology</v>
      </c>
      <c r="AD33" s="51" t="str">
        <f t="shared" si="3"/>
        <v>RRR</v>
      </c>
      <c r="AE33" s="51" t="e">
        <f t="shared" si="7"/>
        <v>#VALUE!</v>
      </c>
      <c r="AF33" s="51" t="str">
        <f t="shared" si="8"/>
        <v>NA</v>
      </c>
      <c r="AG33" s="51" t="str">
        <f t="shared" si="9"/>
        <v>NA</v>
      </c>
      <c r="AH33" s="51" t="str" cm="1">
        <f t="array" ref="AH33">IFERROR(_xlfn.TEXTJOIN(", ", TRUE, _xlfn.UNIQUE(_xlfn._xlws.FILTER(K$2:K$100, (A$2:A$100 = R33) * (D$2:D$100 = S33) * ((J$2:J$100 &lt;= 0.05))))), "")</f>
        <v/>
      </c>
      <c r="AI33" s="51" t="str" cm="1">
        <f t="array" ref="AI33">_xlfn.TEXTJOIN(", ", TRUE, _xlfn.UNIQUE(IF((A$2:A$100 = R33) * (D$2:D$100 = S33) * ((J$2:J$100 &lt;= 0.05)), L$2:L$100, "")))</f>
        <v/>
      </c>
      <c r="AJ33" s="51" t="str">
        <f t="shared" si="14"/>
        <v>OR / RRR</v>
      </c>
      <c r="AM33" s="44" t="str">
        <f t="shared" si="24"/>
        <v>Patient Population Not Reported</v>
      </c>
      <c r="AN33" s="46" t="str">
        <f t="shared" si="25"/>
        <v>ME</v>
      </c>
      <c r="AO33" s="194" t="str">
        <f t="shared" si="15"/>
        <v>NO DATA</v>
      </c>
      <c r="AP33" s="200">
        <f t="shared" si="12"/>
        <v>0</v>
      </c>
      <c r="AQ33" s="46">
        <f t="shared" si="13"/>
        <v>0</v>
      </c>
      <c r="AR33" s="51" t="str" cm="1">
        <f t="array" ref="AR33">_xlfn.TEXTJOIN(", ", TRUE, _xlfn.UNIQUE(IF((AC$2:AC$100 = AM33) * (AJ$2:AJ$100 = AN33), AH$2:AH$100, "")))</f>
        <v/>
      </c>
      <c r="AS33" s="51" t="str" cm="1">
        <f t="array" ref="AS33">_xlfn.TEXTJOIN(", ", TRUE, _xlfn.UNIQUE(IF((AC$2:AC$100 = AM33) * (AJ$2:AJ$100 = AN33), AI$2:AI$100, "")))</f>
        <v/>
      </c>
      <c r="BC33" s="6" t="str" cm="1">
        <f t="array" ref="BC33">INDEX($BB$1:$BB$100,INT((ROW(A33)-1)/3)+1)</f>
        <v>Oncology</v>
      </c>
      <c r="BD33" s="6" t="str" cm="1">
        <f t="array" ref="BD33">INDEX({"OR","RRR","ME"},MOD(ROW(AJ33)-1,3)+1)</f>
        <v>ME</v>
      </c>
      <c r="BF33" s="1" t="str" cm="1">
        <f t="array" ref="BF33">INDEX($BB$1:$BB$100,INT((ROW(A33)-1)/2)+1)</f>
        <v>Preventive vs Curative</v>
      </c>
      <c r="BG33" s="6" t="str" cm="1">
        <f t="array" ref="BG33">INDEX({"OR / RRR";"ME"}, MOD(ROW(AJ33)-1, 2)+1)</f>
        <v>OR / RRR</v>
      </c>
    </row>
    <row r="34" spans="1:59" ht="135">
      <c r="A34" s="134" t="s">
        <v>984</v>
      </c>
      <c r="B34" s="110" t="s">
        <v>885</v>
      </c>
      <c r="C34" s="101" t="s">
        <v>985</v>
      </c>
      <c r="D34" s="93" t="s">
        <v>894</v>
      </c>
      <c r="E34" s="95">
        <v>0.104</v>
      </c>
      <c r="F34" s="95">
        <f>E34-1.96*H34</f>
        <v>-2.7319999999999997E-2</v>
      </c>
      <c r="G34" s="95">
        <f>E34+1.96*H34</f>
        <v>0.23531999999999997</v>
      </c>
      <c r="H34" s="95">
        <v>6.7000000000000004E-2</v>
      </c>
      <c r="I34" s="95"/>
      <c r="J34" s="96" t="s">
        <v>886</v>
      </c>
      <c r="K34" s="96" t="s">
        <v>960</v>
      </c>
      <c r="L34" s="92" t="s">
        <v>888</v>
      </c>
      <c r="R34" s="44" t="str">
        <f t="shared" ref="R34:R65" si="26">BC33</f>
        <v>Oncology</v>
      </c>
      <c r="S34" s="51" t="str">
        <f t="shared" ref="S34:S65" si="27">BD33</f>
        <v>ME</v>
      </c>
      <c r="T34" s="51" t="str">
        <f t="shared" si="4"/>
        <v>0,03-0,33</v>
      </c>
      <c r="U34" s="199">
        <f t="shared" si="5"/>
        <v>3.2000000000000001E-2</v>
      </c>
      <c r="V34" s="199">
        <f t="shared" si="6"/>
        <v>0.33</v>
      </c>
      <c r="W34" s="51" t="str" cm="1">
        <f t="array" ref="W34">_xlfn.TEXTJOIN(", ", TRUE, _xlfn.UNIQUE(_xlfn._xlws.FILTER(K$2:K$100, (A$2:A$100 = R34) * (D$2:D$100 = S34))))</f>
        <v>CANADA-(CADTH), Scotland, UK, France, Sweden, France-(HAS), Germany, England, Australia</v>
      </c>
      <c r="X34" s="51" t="str" cm="1">
        <f t="array" ref="X34">_xlfn.TEXTJOIN(", ", TRUE, _xlfn.UNIQUE(IF((A$2:A$100 = R34) * (D$2:D$100 = S34), L$2:L$100, "")))</f>
        <v>(Mills, 2023), (Kanavos et al., 2023)</v>
      </c>
      <c r="AC34" s="44" t="str">
        <f t="shared" ref="AC34:AC65" si="28">BC33</f>
        <v>Oncology</v>
      </c>
      <c r="AD34" s="51" t="str">
        <f t="shared" ref="AD34:AD65" si="29">BD33</f>
        <v>ME</v>
      </c>
      <c r="AE34" s="51" t="str">
        <f t="shared" si="7"/>
        <v>0,03-0,33</v>
      </c>
      <c r="AF34" s="51">
        <f t="shared" si="8"/>
        <v>3.4000000000000002E-2</v>
      </c>
      <c r="AG34" s="51">
        <f t="shared" si="9"/>
        <v>0.33</v>
      </c>
      <c r="AH34" s="51" t="str" cm="1">
        <f t="array" ref="AH34">IFERROR(_xlfn.TEXTJOIN(", ", TRUE, _xlfn.UNIQUE(_xlfn._xlws.FILTER(K$2:K$100, (A$2:A$100 = R34) * (D$2:D$100 = S34) * ((J$2:J$100 &lt;= 0.05))))), "")</f>
        <v>Sweden, Scotland, France-(HAS), Germany, England, CANADA-(CADTH), Australia</v>
      </c>
      <c r="AI34" s="51" t="str" cm="1">
        <f t="array" ref="AI34">_xlfn.TEXTJOIN(", ", TRUE, _xlfn.UNIQUE(IF((A$2:A$100 = R34) * (D$2:D$100 = S34) * ((J$2:J$100 &lt;= 0.05)), L$2:L$100, "")))</f>
        <v>(Kanavos et al., 2023)</v>
      </c>
      <c r="AJ34" s="51" t="str">
        <f t="shared" si="14"/>
        <v>ME</v>
      </c>
      <c r="AM34" s="44" t="str">
        <f>BF33</f>
        <v>Preventive vs Curative</v>
      </c>
      <c r="AN34" s="46" t="str">
        <f>BG33</f>
        <v>OR / RRR</v>
      </c>
      <c r="AO34" s="194">
        <f t="shared" si="15"/>
        <v>0.05</v>
      </c>
      <c r="AP34" s="200">
        <f t="shared" si="12"/>
        <v>4.6899999999999997E-2</v>
      </c>
      <c r="AQ34" s="46">
        <f t="shared" si="13"/>
        <v>4.6899999999999997E-2</v>
      </c>
      <c r="AR34" s="51" t="str" cm="1">
        <f t="array" ref="AR34">_xlfn.TEXTJOIN(", ", TRUE, _xlfn.UNIQUE(IF((AC$2:AC$100 = AM34) * (AJ$2:AJ$100 = AN34), AH$2:AH$100, "")))</f>
        <v>France (SMR)</v>
      </c>
      <c r="AS34" s="51" t="str" cm="1">
        <f t="array" ref="AS34">_xlfn.TEXTJOIN(", ", TRUE, _xlfn.UNIQUE(IF((AC$2:AC$100 = AM34) * (AJ$2:AJ$100 = AN34), AI$2:AI$100, "")))</f>
        <v>(Kergall et al., 2021)</v>
      </c>
      <c r="BC34" s="6" t="str" cm="1">
        <f t="array" ref="BC34">INDEX($BB$1:$BB$100,INT((ROW(A34)-1)/3)+1)</f>
        <v>Orphan Drug</v>
      </c>
      <c r="BD34" s="6" t="str" cm="1">
        <f t="array" ref="BD34">INDEX({"OR","RRR","ME"},MOD(ROW(AJ34)-1,3)+1)</f>
        <v>OR</v>
      </c>
      <c r="BF34" s="1" t="str" cm="1">
        <f t="array" ref="BF34">INDEX($BB$1:$BB$100,INT((ROW(A34)-1)/2)+1)</f>
        <v>Preventive vs Curative</v>
      </c>
      <c r="BG34" s="6" t="str" cm="1">
        <f t="array" ref="BG34">INDEX({"OR / RRR";"ME"}, MOD(ROW(AJ34)-1, 2)+1)</f>
        <v>ME</v>
      </c>
    </row>
    <row r="35" spans="1:59" ht="255">
      <c r="A35" s="134" t="s">
        <v>984</v>
      </c>
      <c r="B35" s="110" t="s">
        <v>885</v>
      </c>
      <c r="C35" s="101" t="s">
        <v>985</v>
      </c>
      <c r="D35" s="93" t="s">
        <v>894</v>
      </c>
      <c r="E35" s="95">
        <v>7.6999999999999999E-2</v>
      </c>
      <c r="F35" s="95">
        <f t="shared" ref="F35:F37" si="30">E35-1.96*H35</f>
        <v>-2.1000000000000005E-2</v>
      </c>
      <c r="G35" s="95">
        <f t="shared" ref="G35:G37" si="31">E35+1.96*H35</f>
        <v>0.17499999999999999</v>
      </c>
      <c r="H35" s="95">
        <v>0.05</v>
      </c>
      <c r="I35" s="95"/>
      <c r="J35" s="96" t="s">
        <v>886</v>
      </c>
      <c r="K35" s="96" t="s">
        <v>548</v>
      </c>
      <c r="L35" s="92" t="s">
        <v>888</v>
      </c>
      <c r="R35" s="44" t="str">
        <f t="shared" si="26"/>
        <v>Orphan Drug</v>
      </c>
      <c r="S35" s="51" t="str">
        <f t="shared" si="27"/>
        <v>OR</v>
      </c>
      <c r="T35" s="51" t="str">
        <f t="shared" si="4"/>
        <v>0,51-9,12</v>
      </c>
      <c r="U35" s="199">
        <f t="shared" si="5"/>
        <v>0.51</v>
      </c>
      <c r="V35" s="199">
        <f t="shared" si="6"/>
        <v>9.1189999999999998</v>
      </c>
      <c r="W35" s="51" t="str" cm="1">
        <f t="array" ref="W35">_xlfn.TEXTJOIN(", ", TRUE, _xlfn.UNIQUE(_xlfn._xlws.FILTER(K$2:K$100, (A$2:A$100 = R35) * (D$2:D$100 = S35))))</f>
        <v>CANADA-(INESSS), CANADA-(CADTH) Scotland, UK, France, UK, Poland, International, United Kingdom, Scotland, France, Australia, Canada, Germany, Netherlands, Hungary</v>
      </c>
      <c r="X35" s="51" t="str" cm="1">
        <f t="array" ref="X35">_xlfn.TEXTJOIN(", ", TRUE, _xlfn.UNIQUE(IF((A$2:A$100 = R35) * (D$2:D$100 = S35), L$2:L$100, "")))</f>
        <v>(Mills, 2023), (H. Dakin, Devlin, Feng, Rice, O’Neill, et al., 2015), (Kawalec et al., 2018), (Ciani et al., 2021)</v>
      </c>
      <c r="Y35" s="6">
        <v>4</v>
      </c>
      <c r="AC35" s="44" t="str">
        <f t="shared" si="28"/>
        <v>Orphan Drug</v>
      </c>
      <c r="AD35" s="51" t="str">
        <f t="shared" si="29"/>
        <v>OR</v>
      </c>
      <c r="AE35" s="51">
        <f t="shared" si="7"/>
        <v>9.1199999999999992</v>
      </c>
      <c r="AF35" s="51">
        <f t="shared" si="8"/>
        <v>9.1189999999999998</v>
      </c>
      <c r="AG35" s="51">
        <f t="shared" si="9"/>
        <v>9.1189999999999998</v>
      </c>
      <c r="AH35" s="51" t="str" cm="1">
        <f t="array" ref="AH35">IFERROR(_xlfn.TEXTJOIN(", ", TRUE, _xlfn.UNIQUE(_xlfn._xlws.FILTER(K$2:K$100, (A$2:A$100 = R35) * (D$2:D$100 = S35) * ((J$2:J$100 &lt;= 0.05))))), "")</f>
        <v>CANADA-(INESSS), CANADA-(CADTH) Scotland, UK, France</v>
      </c>
      <c r="AI35" s="51" t="str" cm="1">
        <f t="array" ref="AI35">_xlfn.TEXTJOIN(", ", TRUE, _xlfn.UNIQUE(IF((A$2:A$100 = R35) * (D$2:D$100 = S35) * ((J$2:J$100 &lt;= 0.05)), L$2:L$100, "")))</f>
        <v>(Mills, 2023)</v>
      </c>
      <c r="AJ35" s="51" t="str">
        <f t="shared" si="14"/>
        <v>OR / RRR</v>
      </c>
      <c r="AM35" s="44" t="str">
        <f t="shared" ref="AM35" si="32">BF34</f>
        <v>Preventive vs Curative</v>
      </c>
      <c r="AN35" s="46" t="str">
        <f t="shared" ref="AN35" si="33">BG34</f>
        <v>ME</v>
      </c>
      <c r="AO35" s="194" t="str">
        <f t="shared" si="15"/>
        <v>NO DATA</v>
      </c>
      <c r="AP35" s="200">
        <f t="shared" si="12"/>
        <v>0</v>
      </c>
      <c r="AQ35" s="46">
        <f t="shared" si="13"/>
        <v>0</v>
      </c>
      <c r="AR35" s="51" t="str" cm="1">
        <f t="array" ref="AR35">_xlfn.TEXTJOIN(", ", TRUE, _xlfn.UNIQUE(IF((AC$2:AC$100 = AM35) * (AJ$2:AJ$100 = AN35), AH$2:AH$100, "")))</f>
        <v/>
      </c>
      <c r="AS35" s="51" t="str" cm="1">
        <f t="array" ref="AS35">_xlfn.TEXTJOIN(", ", TRUE, _xlfn.UNIQUE(IF((AC$2:AC$100 = AM35) * (AJ$2:AJ$100 = AN35), AI$2:AI$100, "")))</f>
        <v/>
      </c>
      <c r="BC35" s="6" t="str" cm="1">
        <f t="array" ref="BC35">INDEX($BB$1:$BB$100,INT((ROW(A35)-1)/3)+1)</f>
        <v>Orphan Drug</v>
      </c>
      <c r="BD35" s="6" t="str" cm="1">
        <f t="array" ref="BD35">INDEX({"OR","RRR","ME"},MOD(ROW(AJ35)-1,3)+1)</f>
        <v>RRR</v>
      </c>
      <c r="BF35" s="1" t="str" cm="1">
        <f t="array" ref="BF35">INDEX($BB$1:$BB$100,INT((ROW(A35)-1)/2)+1)</f>
        <v>Public Health - Impact</v>
      </c>
      <c r="BG35" s="6" t="str" cm="1">
        <f t="array" ref="BG35">INDEX({"OR / RRR";"ME"}, MOD(ROW(AJ35)-1, 2)+1)</f>
        <v>OR / RRR</v>
      </c>
    </row>
    <row r="36" spans="1:59" ht="150">
      <c r="A36" s="134" t="s">
        <v>984</v>
      </c>
      <c r="B36" s="110" t="s">
        <v>885</v>
      </c>
      <c r="C36" s="101" t="s">
        <v>985</v>
      </c>
      <c r="D36" s="93" t="s">
        <v>894</v>
      </c>
      <c r="E36" s="95">
        <v>0.06</v>
      </c>
      <c r="F36" s="95">
        <f t="shared" si="30"/>
        <v>-1.2520000000000003E-2</v>
      </c>
      <c r="G36" s="95">
        <f t="shared" si="31"/>
        <v>0.13252</v>
      </c>
      <c r="H36" s="95">
        <v>3.6999999999999998E-2</v>
      </c>
      <c r="I36" s="95"/>
      <c r="J36" s="96" t="s">
        <v>886</v>
      </c>
      <c r="K36" s="96" t="s">
        <v>840</v>
      </c>
      <c r="L36" s="92" t="s">
        <v>888</v>
      </c>
      <c r="R36" s="44" t="str">
        <f t="shared" si="26"/>
        <v>Orphan Drug</v>
      </c>
      <c r="S36" s="51" t="str">
        <f t="shared" si="27"/>
        <v>RRR</v>
      </c>
      <c r="T36" s="51">
        <f t="shared" si="4"/>
        <v>0.34</v>
      </c>
      <c r="U36" s="199">
        <f t="shared" si="5"/>
        <v>0.33600000000000002</v>
      </c>
      <c r="V36" s="199">
        <f t="shared" si="6"/>
        <v>0.33600000000000002</v>
      </c>
      <c r="W36" s="51" t="str" cm="1">
        <f t="array" ref="W36">_xlfn.TEXTJOIN(", ", TRUE, _xlfn.UNIQUE(_xlfn._xlws.FILTER(K$2:K$100, (A$2:A$100 = R36) * (D$2:D$100 = S36))))</f>
        <v>Australia, Canada-(CADTH), Canada-(INESSS), England, France-(HAS), Germany, Scotland, Sweden</v>
      </c>
      <c r="X36" s="51" t="str" cm="1">
        <f t="array" ref="X36">_xlfn.TEXTJOIN(", ", TRUE, _xlfn.UNIQUE(IF((A$2:A$100 = R36) * (D$2:D$100 = S36), L$2:L$100, "")))</f>
        <v>(Kanavos et al., 2023)</v>
      </c>
      <c r="AC36" s="44" t="str">
        <f t="shared" si="28"/>
        <v>Orphan Drug</v>
      </c>
      <c r="AD36" s="51" t="str">
        <f t="shared" si="29"/>
        <v>RRR</v>
      </c>
      <c r="AE36" s="51" t="e">
        <f t="shared" si="7"/>
        <v>#VALUE!</v>
      </c>
      <c r="AF36" s="51" t="str">
        <f t="shared" si="8"/>
        <v>NA</v>
      </c>
      <c r="AG36" s="51" t="str">
        <f t="shared" si="9"/>
        <v>NA</v>
      </c>
      <c r="AH36" s="51" t="str" cm="1">
        <f t="array" ref="AH36">IFERROR(_xlfn.TEXTJOIN(", ", TRUE, _xlfn.UNIQUE(_xlfn._xlws.FILTER(K$2:K$100, (A$2:A$100 = R36) * (D$2:D$100 = S36) * ((J$2:J$100 &lt;= 0.05))))), "")</f>
        <v/>
      </c>
      <c r="AI36" s="51" t="str" cm="1">
        <f t="array" ref="AI36">_xlfn.TEXTJOIN(", ", TRUE, _xlfn.UNIQUE(IF((A$2:A$100 = R36) * (D$2:D$100 = S36) * ((J$2:J$100 &lt;= 0.05)), L$2:L$100, "")))</f>
        <v/>
      </c>
      <c r="AJ36" s="51" t="str">
        <f t="shared" si="14"/>
        <v>OR / RRR</v>
      </c>
      <c r="AM36" s="44" t="str">
        <f>BF35</f>
        <v>Public Health - Impact</v>
      </c>
      <c r="AN36" s="46" t="str">
        <f>BG35</f>
        <v>OR / RRR</v>
      </c>
      <c r="AO36" s="194" t="str">
        <f t="shared" si="15"/>
        <v>NO DATA</v>
      </c>
      <c r="AP36" s="200">
        <f t="shared" si="12"/>
        <v>0</v>
      </c>
      <c r="AQ36" s="46">
        <f t="shared" si="13"/>
        <v>0</v>
      </c>
      <c r="AR36" s="51" t="str" cm="1">
        <f t="array" ref="AR36">_xlfn.TEXTJOIN(", ", TRUE, _xlfn.UNIQUE(IF((AC$2:AC$100 = AM36) * (AJ$2:AJ$100 = AN36), AH$2:AH$100, "")))</f>
        <v/>
      </c>
      <c r="AS36" s="51" t="str" cm="1">
        <f t="array" ref="AS36">_xlfn.TEXTJOIN(", ", TRUE, _xlfn.UNIQUE(IF((AC$2:AC$100 = AM36) * (AJ$2:AJ$100 = AN36), AI$2:AI$100, "")))</f>
        <v/>
      </c>
      <c r="BC36" s="6" t="str" cm="1">
        <f t="array" ref="BC36">INDEX($BB$1:$BB$100,INT((ROW(A36)-1)/3)+1)</f>
        <v>Orphan Drug</v>
      </c>
      <c r="BD36" s="6" t="str" cm="1">
        <f t="array" ref="BD36">INDEX({"OR","RRR","ME"},MOD(ROW(AJ36)-1,3)+1)</f>
        <v>ME</v>
      </c>
      <c r="BF36" s="1" t="str" cm="1">
        <f t="array" ref="BF36">INDEX($BB$1:$BB$100,INT((ROW(A36)-1)/2)+1)</f>
        <v>Public Health - Impact</v>
      </c>
      <c r="BG36" s="6" t="str" cm="1">
        <f t="array" ref="BG36">INDEX({"OR / RRR";"ME"}, MOD(ROW(AJ36)-1, 2)+1)</f>
        <v>ME</v>
      </c>
    </row>
    <row r="37" spans="1:59" ht="180">
      <c r="A37" s="134" t="s">
        <v>984</v>
      </c>
      <c r="B37" s="110" t="s">
        <v>885</v>
      </c>
      <c r="C37" s="101" t="s">
        <v>985</v>
      </c>
      <c r="D37" s="93" t="s">
        <v>894</v>
      </c>
      <c r="E37" s="95">
        <v>3.2000000000000001E-2</v>
      </c>
      <c r="F37" s="95">
        <f t="shared" si="30"/>
        <v>-1.7000000000000001E-2</v>
      </c>
      <c r="G37" s="95">
        <f t="shared" si="31"/>
        <v>8.1000000000000003E-2</v>
      </c>
      <c r="H37" s="95">
        <v>2.5000000000000001E-2</v>
      </c>
      <c r="I37" s="95"/>
      <c r="J37" s="96" t="s">
        <v>886</v>
      </c>
      <c r="K37" s="96" t="s">
        <v>565</v>
      </c>
      <c r="L37" s="92" t="s">
        <v>888</v>
      </c>
      <c r="R37" s="44" t="str">
        <f t="shared" si="26"/>
        <v>Orphan Drug</v>
      </c>
      <c r="S37" s="51" t="str">
        <f t="shared" si="27"/>
        <v>ME</v>
      </c>
      <c r="T37" s="51" t="str">
        <f t="shared" si="4"/>
        <v>-4,7-13,68</v>
      </c>
      <c r="U37" s="199">
        <f t="shared" si="5"/>
        <v>-4.7</v>
      </c>
      <c r="V37" s="199">
        <f t="shared" si="6"/>
        <v>13.68</v>
      </c>
      <c r="W37" s="51" t="str" cm="1">
        <f t="array" ref="W37">_xlfn.TEXTJOIN(", ", TRUE, _xlfn.UNIQUE(_xlfn._xlws.FILTER(K$2:K$100, (A$2:A$100 = R37) * (D$2:D$100 = S37))))</f>
        <v>CANADA-(CADTH), Scotland, France, UK, Canada, Sweden, Australia, France-(HAS), Germany, England, Canada-(INESSS)</v>
      </c>
      <c r="X37" s="51" t="str" cm="1">
        <f t="array" ref="X37">_xlfn.TEXTJOIN(", ", TRUE, _xlfn.UNIQUE(IF((A$2:A$100 = R37) * (D$2:D$100 = S37), L$2:L$100, "")))</f>
        <v>(Mills, 2023), (Pinto et al., 2020), (Kanavos et al., 2023)</v>
      </c>
      <c r="AC37" s="44" t="str">
        <f t="shared" si="28"/>
        <v>Orphan Drug</v>
      </c>
      <c r="AD37" s="51" t="str">
        <f t="shared" si="29"/>
        <v>ME</v>
      </c>
      <c r="AE37" s="51" t="str">
        <f t="shared" si="7"/>
        <v>0,03-0,29</v>
      </c>
      <c r="AF37" s="51">
        <f t="shared" si="8"/>
        <v>2.7E-2</v>
      </c>
      <c r="AG37" s="51">
        <f t="shared" si="9"/>
        <v>0.28999999999999998</v>
      </c>
      <c r="AH37" s="51" t="str" cm="1">
        <f t="array" ref="AH37">IFERROR(_xlfn.TEXTJOIN(", ", TRUE, _xlfn.UNIQUE(_xlfn._xlws.FILTER(K$2:K$100, (A$2:A$100 = R37) * (D$2:D$100 = S37) * ((J$2:J$100 &lt;= 0.05))))), "")</f>
        <v>CANADA-(CADTH), Scotland, UK, Sweden, Australia, France-(HAS), Germany, England, Canada-(INESSS)</v>
      </c>
      <c r="AI37" s="51" t="str" cm="1">
        <f t="array" ref="AI37">_xlfn.TEXTJOIN(", ", TRUE, _xlfn.UNIQUE(IF((A$2:A$100 = R37) * (D$2:D$100 = S37) * ((J$2:J$100 &lt;= 0.05)), L$2:L$100, "")))</f>
        <v>(Mills, 2023), (Kanavos et al., 2023)</v>
      </c>
      <c r="AJ37" s="51" t="str">
        <f t="shared" si="14"/>
        <v>ME</v>
      </c>
      <c r="AM37" s="44" t="str">
        <f t="shared" ref="AM37:AM42" si="34">BF36</f>
        <v>Public Health - Impact</v>
      </c>
      <c r="AN37" s="46" t="str">
        <f t="shared" ref="AN37:AN42" si="35">BG36</f>
        <v>ME</v>
      </c>
      <c r="AO37" s="194" t="str">
        <f t="shared" si="15"/>
        <v>NO DATA</v>
      </c>
      <c r="AP37" s="200">
        <f t="shared" si="12"/>
        <v>0</v>
      </c>
      <c r="AQ37" s="46">
        <f t="shared" si="13"/>
        <v>0</v>
      </c>
      <c r="AR37" s="51" t="str" cm="1">
        <f t="array" ref="AR37">_xlfn.TEXTJOIN(", ", TRUE, _xlfn.UNIQUE(IF((AC$2:AC$100 = AM37) * (AJ$2:AJ$100 = AN37), AH$2:AH$100, "")))</f>
        <v/>
      </c>
      <c r="AS37" s="51" t="str" cm="1">
        <f t="array" ref="AS37">_xlfn.TEXTJOIN(", ", TRUE, _xlfn.UNIQUE(IF((AC$2:AC$100 = AM37) * (AJ$2:AJ$100 = AN37), AI$2:AI$100, "")))</f>
        <v/>
      </c>
      <c r="BC37" s="6" t="str" cm="1">
        <f t="array" ref="BC37">INDEX($BB$1:$BB$100,INT((ROW(A37)-1)/3)+1)</f>
        <v>Paediatric</v>
      </c>
      <c r="BD37" s="6" t="str" cm="1">
        <f t="array" ref="BD37">INDEX({"OR","RRR","ME"},MOD(ROW(AJ37)-1,3)+1)</f>
        <v>OR</v>
      </c>
      <c r="BF37" s="1" t="str" cm="1">
        <f t="array" ref="BF37">INDEX($BB$1:$BB$100,INT((ROW(A37)-1)/2)+1)</f>
        <v>Respiratory</v>
      </c>
      <c r="BG37" s="6" t="str" cm="1">
        <f t="array" ref="BG37">INDEX({"OR / RRR";"ME"}, MOD(ROW(AJ37)-1, 2)+1)</f>
        <v>OR / RRR</v>
      </c>
    </row>
    <row r="38" spans="1:59" ht="60">
      <c r="A38" s="134" t="s">
        <v>984</v>
      </c>
      <c r="B38" s="110" t="s">
        <v>949</v>
      </c>
      <c r="C38" s="101" t="s">
        <v>985</v>
      </c>
      <c r="D38" s="93" t="s">
        <v>891</v>
      </c>
      <c r="E38" s="95">
        <f>1/EXP(-0.7)</f>
        <v>2.0137527074704766</v>
      </c>
      <c r="F38" s="95">
        <f>1/EXP(0.31)</f>
        <v>0.73344695622428924</v>
      </c>
      <c r="G38" s="95">
        <f>1/EXP(-1.71)</f>
        <v>5.5289614776240033</v>
      </c>
      <c r="H38" s="95"/>
      <c r="I38" s="95"/>
      <c r="J38" s="96" t="s">
        <v>986</v>
      </c>
      <c r="K38" s="96" t="s">
        <v>152</v>
      </c>
      <c r="L38" s="92" t="s">
        <v>950</v>
      </c>
      <c r="R38" s="44" t="str">
        <f t="shared" si="26"/>
        <v>Paediatric</v>
      </c>
      <c r="S38" s="51" t="str">
        <f t="shared" si="27"/>
        <v>OR</v>
      </c>
      <c r="T38" s="51">
        <f t="shared" si="4"/>
        <v>4.0999999999999996</v>
      </c>
      <c r="U38" s="199">
        <f t="shared" si="5"/>
        <v>4.0970000000000004</v>
      </c>
      <c r="V38" s="199">
        <f t="shared" si="6"/>
        <v>4.0970000000000004</v>
      </c>
      <c r="W38" s="51" t="str" cm="1">
        <f t="array" ref="W38">_xlfn.TEXTJOIN(", ", TRUE, _xlfn.UNIQUE(_xlfn._xlws.FILTER(K$2:K$100, (A$2:A$100 = R38) * (D$2:D$100 = S38))))</f>
        <v>UK</v>
      </c>
      <c r="X38" s="51" t="str" cm="1">
        <f t="array" ref="X38">_xlfn.TEXTJOIN(", ", TRUE, _xlfn.UNIQUE(IF((A$2:A$100 = R38) * (D$2:D$100 = S38), L$2:L$100, "")))</f>
        <v>(H. Dakin, Devlin, Feng, Rice, O’Neill, et al., 2015)</v>
      </c>
      <c r="AC38" s="44" t="str">
        <f t="shared" si="28"/>
        <v>Paediatric</v>
      </c>
      <c r="AD38" s="51" t="str">
        <f t="shared" si="29"/>
        <v>OR</v>
      </c>
      <c r="AE38" s="51" t="e">
        <f t="shared" si="7"/>
        <v>#VALUE!</v>
      </c>
      <c r="AF38" s="51" t="str">
        <f t="shared" si="8"/>
        <v>NA</v>
      </c>
      <c r="AG38" s="51" t="str">
        <f t="shared" si="9"/>
        <v>NA</v>
      </c>
      <c r="AH38" s="51" t="str" cm="1">
        <f t="array" ref="AH38">IFERROR(_xlfn.TEXTJOIN(", ", TRUE, _xlfn.UNIQUE(_xlfn._xlws.FILTER(K$2:K$100, (A$2:A$100 = R38) * (D$2:D$100 = S38) * ((J$2:J$100 &lt;= 0.05))))), "")</f>
        <v/>
      </c>
      <c r="AI38" s="51" t="str" cm="1">
        <f t="array" ref="AI38">_xlfn.TEXTJOIN(", ", TRUE, _xlfn.UNIQUE(IF((A$2:A$100 = R38) * (D$2:D$100 = S38) * ((J$2:J$100 &lt;= 0.05)), L$2:L$100, "")))</f>
        <v/>
      </c>
      <c r="AJ38" s="51" t="str">
        <f t="shared" si="14"/>
        <v>OR / RRR</v>
      </c>
      <c r="AM38" s="44" t="str">
        <f t="shared" si="34"/>
        <v>Respiratory</v>
      </c>
      <c r="AN38" s="46" t="str">
        <f t="shared" si="35"/>
        <v>OR / RRR</v>
      </c>
      <c r="AO38" s="194">
        <f t="shared" si="15"/>
        <v>0.28999999999999998</v>
      </c>
      <c r="AP38" s="200">
        <f t="shared" si="12"/>
        <v>0.28799999999999998</v>
      </c>
      <c r="AQ38" s="46">
        <f t="shared" si="13"/>
        <v>0.28799999999999998</v>
      </c>
      <c r="AR38" s="51" t="str" cm="1">
        <f t="array" ref="AR38">_xlfn.TEXTJOIN(", ", TRUE, _xlfn.UNIQUE(IF((AC$2:AC$100 = AM38) * (AJ$2:AJ$100 = AN38), AH$2:AH$100, "")))</f>
        <v>UK</v>
      </c>
      <c r="AS38" s="51" t="str" cm="1">
        <f t="array" ref="AS38">_xlfn.TEXTJOIN(", ", TRUE, _xlfn.UNIQUE(IF((AC$2:AC$100 = AM38) * (AJ$2:AJ$100 = AN38), AI$2:AI$100, "")))</f>
        <v>(H. Dakin, Devlin, Feng, Rice, O’Neill, et al., 2015)</v>
      </c>
      <c r="BC38" s="6" t="str" cm="1">
        <f t="array" ref="BC38">INDEX($BB$1:$BB$100,INT((ROW(A38)-1)/3)+1)</f>
        <v>Paediatric</v>
      </c>
      <c r="BD38" s="6" t="str" cm="1">
        <f t="array" ref="BD38">INDEX({"OR","RRR","ME"},MOD(ROW(AJ38)-1,3)+1)</f>
        <v>RRR</v>
      </c>
      <c r="BF38" s="1" t="str" cm="1">
        <f t="array" ref="BF38">INDEX($BB$1:$BB$100,INT((ROW(A38)-1)/2)+1)</f>
        <v>Respiratory</v>
      </c>
      <c r="BG38" s="6" t="str" cm="1">
        <f t="array" ref="BG38">INDEX({"OR / RRR";"ME"}, MOD(ROW(AJ38)-1, 2)+1)</f>
        <v>ME</v>
      </c>
    </row>
    <row r="39" spans="1:59" ht="45">
      <c r="A39" s="134"/>
      <c r="B39" s="110"/>
      <c r="C39" s="101"/>
      <c r="D39" s="93"/>
      <c r="E39" s="95"/>
      <c r="F39" s="95"/>
      <c r="G39" s="95"/>
      <c r="H39" s="95"/>
      <c r="I39" s="95"/>
      <c r="J39" s="96"/>
      <c r="K39" s="96"/>
      <c r="L39" s="92"/>
      <c r="R39" s="44" t="str">
        <f t="shared" si="26"/>
        <v>Paediatric</v>
      </c>
      <c r="S39" s="51" t="str">
        <f t="shared" si="27"/>
        <v>RRR</v>
      </c>
      <c r="T39" s="51" t="str">
        <f t="shared" si="4"/>
        <v>NO DATA</v>
      </c>
      <c r="U39" s="199">
        <f t="shared" si="5"/>
        <v>0</v>
      </c>
      <c r="V39" s="199">
        <f t="shared" si="6"/>
        <v>0</v>
      </c>
      <c r="W39" s="51" t="e" cm="1" vm="1">
        <f t="array" ref="W39">_xlfn.TEXTJOIN(", ", TRUE, _xlfn.UNIQUE(_xlfn._xlws.FILTER(K$2:K$100, (A$2:A$100 = R39) * (D$2:D$100 = S39))))</f>
        <v>#VALUE!</v>
      </c>
      <c r="X39" s="51" t="str" cm="1">
        <f t="array" ref="X39">_xlfn.TEXTJOIN(", ", TRUE, _xlfn.UNIQUE(IF((A$2:A$100 = R39) * (D$2:D$100 = S39), L$2:L$100, "")))</f>
        <v/>
      </c>
      <c r="AC39" s="44" t="str">
        <f t="shared" si="28"/>
        <v>Paediatric</v>
      </c>
      <c r="AD39" s="51" t="str">
        <f t="shared" si="29"/>
        <v>RRR</v>
      </c>
      <c r="AE39" s="51" t="e">
        <f t="shared" si="7"/>
        <v>#VALUE!</v>
      </c>
      <c r="AF39" s="51" t="str">
        <f t="shared" si="8"/>
        <v>NA</v>
      </c>
      <c r="AG39" s="51" t="str">
        <f t="shared" si="9"/>
        <v>NA</v>
      </c>
      <c r="AH39" s="51" t="str" cm="1">
        <f t="array" ref="AH39">IFERROR(_xlfn.TEXTJOIN(", ", TRUE, _xlfn.UNIQUE(_xlfn._xlws.FILTER(K$2:K$100, (A$2:A$100 = R39) * (D$2:D$100 = S39) * ((J$2:J$100 &lt;= 0.05))))), "")</f>
        <v/>
      </c>
      <c r="AI39" s="51" t="str" cm="1">
        <f t="array" ref="AI39">_xlfn.TEXTJOIN(", ", TRUE, _xlfn.UNIQUE(IF((A$2:A$100 = R39) * (D$2:D$100 = S39) * ((J$2:J$100 &lt;= 0.05)), L$2:L$100, "")))</f>
        <v/>
      </c>
      <c r="AJ39" s="51" t="str">
        <f t="shared" si="14"/>
        <v>OR / RRR</v>
      </c>
      <c r="AM39" s="44" t="str">
        <f t="shared" si="34"/>
        <v>Respiratory</v>
      </c>
      <c r="AN39" s="46" t="str">
        <f t="shared" si="35"/>
        <v>ME</v>
      </c>
      <c r="AO39" s="194" t="str">
        <f t="shared" si="15"/>
        <v>NO DATA</v>
      </c>
      <c r="AP39" s="200">
        <f t="shared" si="12"/>
        <v>0</v>
      </c>
      <c r="AQ39" s="46">
        <f t="shared" si="13"/>
        <v>0</v>
      </c>
      <c r="AR39" s="51" t="str" cm="1">
        <f t="array" ref="AR39">_xlfn.TEXTJOIN(", ", TRUE, _xlfn.UNIQUE(IF((AC$2:AC$100 = AM39) * (AJ$2:AJ$100 = AN39), AH$2:AH$100, "")))</f>
        <v/>
      </c>
      <c r="AS39" s="51" t="str" cm="1">
        <f t="array" ref="AS39">_xlfn.TEXTJOIN(", ", TRUE, _xlfn.UNIQUE(IF((AC$2:AC$100 = AM39) * (AJ$2:AJ$100 = AN39), AI$2:AI$100, "")))</f>
        <v/>
      </c>
      <c r="BC39" s="6" t="str" cm="1">
        <f t="array" ref="BC39">INDEX($BB$1:$BB$100,INT((ROW(A39)-1)/3)+1)</f>
        <v>Paediatric</v>
      </c>
      <c r="BD39" s="6" t="str" cm="1">
        <f t="array" ref="BD39">INDEX({"OR","RRR","ME"},MOD(ROW(AJ39)-1,3)+1)</f>
        <v>ME</v>
      </c>
      <c r="BF39" s="1" t="str" cm="1">
        <f t="array" ref="BF39">INDEX($BB$1:$BB$100,INT((ROW(A39)-1)/2)+1)</f>
        <v>Special Demographics</v>
      </c>
      <c r="BG39" s="6" t="str" cm="1">
        <f t="array" ref="BG39">INDEX({"OR / RRR";"ME"}, MOD(ROW(AJ39)-1, 2)+1)</f>
        <v>OR / RRR</v>
      </c>
    </row>
    <row r="40" spans="1:59" ht="165">
      <c r="A40" s="134" t="s">
        <v>984</v>
      </c>
      <c r="B40" s="110" t="s">
        <v>885</v>
      </c>
      <c r="C40" s="101" t="s">
        <v>985</v>
      </c>
      <c r="D40" s="93" t="s">
        <v>879</v>
      </c>
      <c r="E40" s="95">
        <v>3.6280000000000001</v>
      </c>
      <c r="F40" s="95"/>
      <c r="G40" s="95"/>
      <c r="H40" s="95">
        <v>2.0609999999999999</v>
      </c>
      <c r="I40" s="95"/>
      <c r="J40" s="96">
        <v>0.05</v>
      </c>
      <c r="K40" s="96" t="s">
        <v>987</v>
      </c>
      <c r="L40" s="92" t="s">
        <v>888</v>
      </c>
      <c r="R40" s="44" t="str">
        <f t="shared" si="26"/>
        <v>Paediatric</v>
      </c>
      <c r="S40" s="51" t="str">
        <f t="shared" si="27"/>
        <v>ME</v>
      </c>
      <c r="T40" s="51" t="str">
        <f t="shared" si="4"/>
        <v>NO DATA</v>
      </c>
      <c r="U40" s="199">
        <f t="shared" si="5"/>
        <v>0</v>
      </c>
      <c r="V40" s="199">
        <f t="shared" si="6"/>
        <v>0</v>
      </c>
      <c r="W40" s="51" t="e" cm="1" vm="1">
        <f t="array" ref="W40">_xlfn.TEXTJOIN(", ", TRUE, _xlfn.UNIQUE(_xlfn._xlws.FILTER(K$2:K$100, (A$2:A$100 = R40) * (D$2:D$100 = S40))))</f>
        <v>#VALUE!</v>
      </c>
      <c r="X40" s="51" t="str" cm="1">
        <f t="array" ref="X40">_xlfn.TEXTJOIN(", ", TRUE, _xlfn.UNIQUE(IF((A$2:A$100 = R40) * (D$2:D$100 = S40), L$2:L$100, "")))</f>
        <v/>
      </c>
      <c r="AC40" s="44" t="str">
        <f t="shared" si="28"/>
        <v>Paediatric</v>
      </c>
      <c r="AD40" s="51" t="str">
        <f t="shared" si="29"/>
        <v>ME</v>
      </c>
      <c r="AE40" s="51" t="e">
        <f t="shared" si="7"/>
        <v>#VALUE!</v>
      </c>
      <c r="AF40" s="51" t="str">
        <f t="shared" si="8"/>
        <v>NA</v>
      </c>
      <c r="AG40" s="51" t="str">
        <f t="shared" si="9"/>
        <v>NA</v>
      </c>
      <c r="AH40" s="51" t="str" cm="1">
        <f t="array" ref="AH40">IFERROR(_xlfn.TEXTJOIN(", ", TRUE, _xlfn.UNIQUE(_xlfn._xlws.FILTER(K$2:K$100, (A$2:A$100 = R40) * (D$2:D$100 = S40) * ((J$2:J$100 &lt;= 0.05))))), "")</f>
        <v/>
      </c>
      <c r="AI40" s="51" t="str" cm="1">
        <f t="array" ref="AI40">_xlfn.TEXTJOIN(", ", TRUE, _xlfn.UNIQUE(IF((A$2:A$100 = R40) * (D$2:D$100 = S40) * ((J$2:J$100 &lt;= 0.05)), L$2:L$100, "")))</f>
        <v/>
      </c>
      <c r="AJ40" s="51" t="str">
        <f t="shared" si="14"/>
        <v>ME</v>
      </c>
      <c r="AM40" s="44" t="str">
        <f t="shared" si="34"/>
        <v>Special Demographics</v>
      </c>
      <c r="AN40" s="46" t="str">
        <f t="shared" si="35"/>
        <v>OR / RRR</v>
      </c>
      <c r="AO40" s="194" t="str">
        <f t="shared" si="15"/>
        <v>NO DATA</v>
      </c>
      <c r="AP40" s="200">
        <f t="shared" si="12"/>
        <v>0</v>
      </c>
      <c r="AQ40" s="46">
        <f t="shared" si="13"/>
        <v>0</v>
      </c>
      <c r="AR40" s="51" t="str" cm="1">
        <f t="array" ref="AR40">_xlfn.TEXTJOIN(", ", TRUE, _xlfn.UNIQUE(IF((AC$2:AC$100 = AM40) * (AJ$2:AJ$100 = AN40), AH$2:AH$100, "")))</f>
        <v/>
      </c>
      <c r="AS40" s="51" t="str" cm="1">
        <f t="array" ref="AS40">_xlfn.TEXTJOIN(", ", TRUE, _xlfn.UNIQUE(IF((AC$2:AC$100 = AM40) * (AJ$2:AJ$100 = AN40), AI$2:AI$100, "")))</f>
        <v/>
      </c>
      <c r="BC40" s="6" t="str" cm="1">
        <f t="array" ref="BC40">INDEX($BB$1:$BB$100,INT((ROW(A40)-1)/3)+1)</f>
        <v>Palliative vs curative - adjuvant</v>
      </c>
      <c r="BD40" s="6" t="str" cm="1">
        <f t="array" ref="BD40">INDEX({"OR","RRR","ME"},MOD(ROW(AJ40)-1,3)+1)</f>
        <v>OR</v>
      </c>
      <c r="BF40" s="1" t="str" cm="1">
        <f t="array" ref="BF40">INDEX($BB$1:$BB$100,INT((ROW(A40)-1)/2)+1)</f>
        <v>Special Demographics</v>
      </c>
      <c r="BG40" s="6" t="str" cm="1">
        <f t="array" ref="BG40">INDEX({"OR / RRR";"ME"}, MOD(ROW(AJ40)-1, 2)+1)</f>
        <v>ME</v>
      </c>
    </row>
    <row r="41" spans="1:59" ht="45">
      <c r="A41" s="134" t="s">
        <v>984</v>
      </c>
      <c r="B41" s="110" t="s">
        <v>897</v>
      </c>
      <c r="C41" s="101" t="s">
        <v>985</v>
      </c>
      <c r="D41" s="93" t="s">
        <v>879</v>
      </c>
      <c r="E41" s="95">
        <v>0.63</v>
      </c>
      <c r="F41" s="95">
        <v>0.3</v>
      </c>
      <c r="G41" s="95">
        <v>1.33</v>
      </c>
      <c r="H41" s="95"/>
      <c r="I41" s="95"/>
      <c r="J41" s="96">
        <v>0.2</v>
      </c>
      <c r="K41" s="96" t="s">
        <v>365</v>
      </c>
      <c r="L41" s="92" t="s">
        <v>898</v>
      </c>
      <c r="R41" s="44" t="str">
        <f t="shared" si="26"/>
        <v>Palliative vs curative - adjuvant</v>
      </c>
      <c r="S41" s="51" t="str">
        <f t="shared" si="27"/>
        <v>OR</v>
      </c>
      <c r="T41" s="51" t="str">
        <f t="shared" si="4"/>
        <v>NO DATA</v>
      </c>
      <c r="U41" s="199">
        <f t="shared" si="5"/>
        <v>0</v>
      </c>
      <c r="V41" s="199">
        <f t="shared" si="6"/>
        <v>0</v>
      </c>
      <c r="W41" s="51" t="str" cm="1">
        <f t="array" ref="W41">_xlfn.TEXTJOIN(", ", TRUE, _xlfn.UNIQUE(_xlfn._xlws.FILTER(K$2:K$100, (A$2:A$100 = R41) * (D$2:D$100 = S41))))</f>
        <v>Australia</v>
      </c>
      <c r="X41" s="51" t="str" cm="1">
        <f t="array" ref="X41">_xlfn.TEXTJOIN(", ", TRUE, _xlfn.UNIQUE(IF((A$2:A$100 = R41) * (D$2:D$100 = S41), L$2:L$100, "")))</f>
        <v>(Karikios et al., 2017)</v>
      </c>
      <c r="AC41" s="44" t="str">
        <f t="shared" si="28"/>
        <v>Palliative vs curative - adjuvant</v>
      </c>
      <c r="AD41" s="51" t="str">
        <f t="shared" si="29"/>
        <v>OR</v>
      </c>
      <c r="AE41" s="51" t="e">
        <f t="shared" si="7"/>
        <v>#VALUE!</v>
      </c>
      <c r="AF41" s="51" t="str">
        <f t="shared" si="8"/>
        <v>NA</v>
      </c>
      <c r="AG41" s="51" t="str">
        <f t="shared" si="9"/>
        <v>NA</v>
      </c>
      <c r="AH41" s="51" t="str" cm="1">
        <f t="array" ref="AH41">IFERROR(_xlfn.TEXTJOIN(", ", TRUE, _xlfn.UNIQUE(_xlfn._xlws.FILTER(K$2:K$100, (A$2:A$100 = R41) * (D$2:D$100 = S41) * ((J$2:J$100 &lt;= 0.05))))), "")</f>
        <v/>
      </c>
      <c r="AI41" s="51" t="str" cm="1">
        <f t="array" ref="AI41">_xlfn.TEXTJOIN(", ", TRUE, _xlfn.UNIQUE(IF((A$2:A$100 = R41) * (D$2:D$100 = S41) * ((J$2:J$100 &lt;= 0.05)), L$2:L$100, "")))</f>
        <v/>
      </c>
      <c r="AJ41" s="51" t="str">
        <f t="shared" si="14"/>
        <v>OR / RRR</v>
      </c>
      <c r="AM41" s="44" t="str">
        <f t="shared" si="34"/>
        <v>Special Demographics</v>
      </c>
      <c r="AN41" s="46" t="str">
        <f t="shared" si="35"/>
        <v>ME</v>
      </c>
      <c r="AO41" s="194" t="str">
        <f t="shared" si="15"/>
        <v>NO DATA</v>
      </c>
      <c r="AP41" s="200">
        <f t="shared" si="12"/>
        <v>0</v>
      </c>
      <c r="AQ41" s="46">
        <f t="shared" si="13"/>
        <v>0</v>
      </c>
      <c r="AR41" s="51" t="str" cm="1">
        <f t="array" ref="AR41">_xlfn.TEXTJOIN(", ", TRUE, _xlfn.UNIQUE(IF((AC$2:AC$100 = AM41) * (AJ$2:AJ$100 = AN41), AH$2:AH$100, "")))</f>
        <v/>
      </c>
      <c r="AS41" s="51" t="str" cm="1">
        <f t="array" ref="AS41">_xlfn.TEXTJOIN(", ", TRUE, _xlfn.UNIQUE(IF((AC$2:AC$100 = AM41) * (AJ$2:AJ$100 = AN41), AI$2:AI$100, "")))</f>
        <v/>
      </c>
      <c r="BC41" s="6" t="str" cm="1">
        <f t="array" ref="BC41">INDEX($BB$1:$BB$100,INT((ROW(A41)-1)/3)+1)</f>
        <v>Palliative vs curative - adjuvant</v>
      </c>
      <c r="BD41" s="6" t="str" cm="1">
        <f t="array" ref="BD41">INDEX({"OR","RRR","ME"},MOD(ROW(AJ41)-1,3)+1)</f>
        <v>RRR</v>
      </c>
      <c r="BF41" s="1" t="str" cm="1">
        <f t="array" ref="BF41">INDEX($BB$1:$BB$100,INT((ROW(A41)-1)/2)+1)</f>
        <v>Symptomatic vs Curative</v>
      </c>
      <c r="BG41" s="6" t="str" cm="1">
        <f t="array" ref="BG41">INDEX({"OR / RRR";"ME"}, MOD(ROW(AJ41)-1, 2)+1)</f>
        <v>OR / RRR</v>
      </c>
    </row>
    <row r="42" spans="1:59" ht="45">
      <c r="A42" s="134" t="s">
        <v>984</v>
      </c>
      <c r="B42" s="110" t="s">
        <v>878</v>
      </c>
      <c r="C42" s="101" t="s">
        <v>985</v>
      </c>
      <c r="D42" s="93" t="s">
        <v>879</v>
      </c>
      <c r="E42" s="95">
        <v>0.32200000000000001</v>
      </c>
      <c r="F42" s="95">
        <v>0.13400000000000001</v>
      </c>
      <c r="G42" s="95">
        <v>0.77800000000000002</v>
      </c>
      <c r="H42" s="95"/>
      <c r="I42" s="95"/>
      <c r="J42" s="96" t="s">
        <v>886</v>
      </c>
      <c r="K42" s="96" t="s">
        <v>840</v>
      </c>
      <c r="L42" s="92" t="s">
        <v>974</v>
      </c>
      <c r="R42" s="44" t="str">
        <f t="shared" si="26"/>
        <v>Palliative vs curative - adjuvant</v>
      </c>
      <c r="S42" s="51" t="str">
        <f t="shared" si="27"/>
        <v>RRR</v>
      </c>
      <c r="T42" s="51" t="str">
        <f t="shared" si="4"/>
        <v>NO DATA</v>
      </c>
      <c r="U42" s="199">
        <f t="shared" si="5"/>
        <v>0</v>
      </c>
      <c r="V42" s="199">
        <f t="shared" si="6"/>
        <v>0</v>
      </c>
      <c r="W42" s="51" t="e" cm="1" vm="1">
        <f t="array" ref="W42">_xlfn.TEXTJOIN(", ", TRUE, _xlfn.UNIQUE(_xlfn._xlws.FILTER(K$2:K$100, (A$2:A$100 = R42) * (D$2:D$100 = S42))))</f>
        <v>#VALUE!</v>
      </c>
      <c r="X42" s="51" t="str" cm="1">
        <f t="array" ref="X42">_xlfn.TEXTJOIN(", ", TRUE, _xlfn.UNIQUE(IF((A$2:A$100 = R42) * (D$2:D$100 = S42), L$2:L$100, "")))</f>
        <v/>
      </c>
      <c r="AC42" s="44" t="str">
        <f t="shared" si="28"/>
        <v>Palliative vs curative - adjuvant</v>
      </c>
      <c r="AD42" s="51" t="str">
        <f t="shared" si="29"/>
        <v>RRR</v>
      </c>
      <c r="AE42" s="51" t="e">
        <f t="shared" si="7"/>
        <v>#VALUE!</v>
      </c>
      <c r="AF42" s="51" t="str">
        <f t="shared" si="8"/>
        <v>NA</v>
      </c>
      <c r="AG42" s="51" t="str">
        <f t="shared" si="9"/>
        <v>NA</v>
      </c>
      <c r="AH42" s="51" t="str" cm="1">
        <f t="array" ref="AH42">IFERROR(_xlfn.TEXTJOIN(", ", TRUE, _xlfn.UNIQUE(_xlfn._xlws.FILTER(K$2:K$100, (A$2:A$100 = R42) * (D$2:D$100 = S42) * ((J$2:J$100 &lt;= 0.05))))), "")</f>
        <v/>
      </c>
      <c r="AI42" s="51" t="str" cm="1">
        <f t="array" ref="AI42">_xlfn.TEXTJOIN(", ", TRUE, _xlfn.UNIQUE(IF((A$2:A$100 = R42) * (D$2:D$100 = S42) * ((J$2:J$100 &lt;= 0.05)), L$2:L$100, "")))</f>
        <v/>
      </c>
      <c r="AJ42" s="51" t="str">
        <f t="shared" si="14"/>
        <v>OR / RRR</v>
      </c>
      <c r="AM42" s="44" t="str">
        <f t="shared" si="34"/>
        <v>Symptomatic vs Curative</v>
      </c>
      <c r="AN42" s="46" t="str">
        <f t="shared" si="35"/>
        <v>OR / RRR</v>
      </c>
      <c r="AO42" s="194">
        <f t="shared" si="15"/>
        <v>0.05</v>
      </c>
      <c r="AP42" s="200">
        <f t="shared" si="12"/>
        <v>4.6399999999999997E-2</v>
      </c>
      <c r="AQ42" s="46">
        <f t="shared" si="13"/>
        <v>4.6399999999999997E-2</v>
      </c>
      <c r="AR42" s="51" t="str" cm="1">
        <f t="array" ref="AR42">_xlfn.TEXTJOIN(", ", TRUE, _xlfn.UNIQUE(IF((AC$2:AC$100 = AM42) * (AJ$2:AJ$100 = AN42), AH$2:AH$100, "")))</f>
        <v>France (SMR)</v>
      </c>
      <c r="AS42" s="51" t="str" cm="1">
        <f t="array" ref="AS42">_xlfn.TEXTJOIN(", ", TRUE, _xlfn.UNIQUE(IF((AC$2:AC$100 = AM42) * (AJ$2:AJ$100 = AN42), AI$2:AI$100, "")))</f>
        <v>(Kergall et al., 2021)</v>
      </c>
      <c r="BC42" s="6" t="str" cm="1">
        <f t="array" ref="BC42">INDEX($BB$1:$BB$100,INT((ROW(A42)-1)/3)+1)</f>
        <v>Palliative vs curative - adjuvant</v>
      </c>
      <c r="BD42" s="6" t="str" cm="1">
        <f t="array" ref="BD42">INDEX({"OR","RRR","ME"},MOD(ROW(AJ42)-1,3)+1)</f>
        <v>ME</v>
      </c>
      <c r="BF42" s="1" t="str" cm="1">
        <f t="array" ref="BF42">INDEX($BB$1:$BB$100,INT((ROW(A42)-1)/2)+1)</f>
        <v>Symptomatic vs Curative</v>
      </c>
      <c r="BG42" s="6" t="str" cm="1">
        <f t="array" ref="BG42">INDEX({"OR / RRR";"ME"}, MOD(ROW(AJ42)-1, 2)+1)</f>
        <v>ME</v>
      </c>
    </row>
    <row r="43" spans="1:59" ht="45">
      <c r="A43" s="134" t="s">
        <v>984</v>
      </c>
      <c r="B43" s="110" t="s">
        <v>878</v>
      </c>
      <c r="C43" s="101" t="s">
        <v>985</v>
      </c>
      <c r="D43" s="93" t="s">
        <v>894</v>
      </c>
      <c r="E43" s="95">
        <v>0.33</v>
      </c>
      <c r="F43" s="95">
        <f>E43-1.96*H43</f>
        <v>0.20456000000000002</v>
      </c>
      <c r="G43" s="95">
        <f>E43+1.96*H43</f>
        <v>0.45544000000000001</v>
      </c>
      <c r="H43" s="95">
        <v>6.4000000000000001E-2</v>
      </c>
      <c r="I43" s="95"/>
      <c r="J43" s="96">
        <v>0.01</v>
      </c>
      <c r="K43" s="96" t="s">
        <v>122</v>
      </c>
      <c r="L43" s="92" t="s">
        <v>893</v>
      </c>
      <c r="R43" s="44" t="str">
        <f t="shared" si="26"/>
        <v>Palliative vs curative - adjuvant</v>
      </c>
      <c r="S43" s="51" t="str">
        <f t="shared" si="27"/>
        <v>ME</v>
      </c>
      <c r="T43" s="51" t="str">
        <f t="shared" si="4"/>
        <v>NO DATA</v>
      </c>
      <c r="U43" s="199">
        <f t="shared" si="5"/>
        <v>0</v>
      </c>
      <c r="V43" s="199">
        <f t="shared" si="6"/>
        <v>0</v>
      </c>
      <c r="W43" s="51" t="e" cm="1" vm="1">
        <f t="array" ref="W43">_xlfn.TEXTJOIN(", ", TRUE, _xlfn.UNIQUE(_xlfn._xlws.FILTER(K$2:K$100, (A$2:A$100 = R43) * (D$2:D$100 = S43))))</f>
        <v>#VALUE!</v>
      </c>
      <c r="X43" s="51" t="str" cm="1">
        <f t="array" ref="X43">_xlfn.TEXTJOIN(", ", TRUE, _xlfn.UNIQUE(IF((A$2:A$100 = R43) * (D$2:D$100 = S43), L$2:L$100, "")))</f>
        <v/>
      </c>
      <c r="AC43" s="44" t="str">
        <f t="shared" si="28"/>
        <v>Palliative vs curative - adjuvant</v>
      </c>
      <c r="AD43" s="51" t="str">
        <f t="shared" si="29"/>
        <v>ME</v>
      </c>
      <c r="AE43" s="51" t="e">
        <f t="shared" si="7"/>
        <v>#VALUE!</v>
      </c>
      <c r="AF43" s="51" t="str">
        <f t="shared" si="8"/>
        <v>NA</v>
      </c>
      <c r="AG43" s="51" t="str">
        <f t="shared" si="9"/>
        <v>NA</v>
      </c>
      <c r="AH43" s="51" t="str" cm="1">
        <f t="array" ref="AH43">IFERROR(_xlfn.TEXTJOIN(", ", TRUE, _xlfn.UNIQUE(_xlfn._xlws.FILTER(K$2:K$100, (A$2:A$100 = R43) * (D$2:D$100 = S43) * ((J$2:J$100 &lt;= 0.05))))), "")</f>
        <v/>
      </c>
      <c r="AI43" s="51" t="str" cm="1">
        <f t="array" ref="AI43">_xlfn.TEXTJOIN(", ", TRUE, _xlfn.UNIQUE(IF((A$2:A$100 = R43) * (D$2:D$100 = S43) * ((J$2:J$100 &lt;= 0.05)), L$2:L$100, "")))</f>
        <v/>
      </c>
      <c r="AJ43" s="51" t="str">
        <f t="shared" si="14"/>
        <v>ME</v>
      </c>
      <c r="AM43" s="44" t="str">
        <f>BF42</f>
        <v>Symptomatic vs Curative</v>
      </c>
      <c r="AN43" s="46" t="str">
        <f>BG42</f>
        <v>ME</v>
      </c>
      <c r="AO43" s="194" t="str">
        <f t="shared" si="15"/>
        <v>NO DATA</v>
      </c>
      <c r="AP43" s="200">
        <f t="shared" si="12"/>
        <v>0</v>
      </c>
      <c r="AQ43" s="46">
        <f t="shared" si="13"/>
        <v>0</v>
      </c>
      <c r="AR43" s="51" t="str" cm="1">
        <f t="array" ref="AR43">_xlfn.TEXTJOIN(", ", TRUE, _xlfn.UNIQUE(IF((AC$2:AC$100 = AM43) * (AJ$2:AJ$100 = AN43), AH$2:AH$100, "")))</f>
        <v/>
      </c>
      <c r="AS43" s="51" t="str" cm="1">
        <f t="array" ref="AS43">_xlfn.TEXTJOIN(", ", TRUE, _xlfn.UNIQUE(IF((AC$2:AC$100 = AM43) * (AJ$2:AJ$100 = AN43), AI$2:AI$100, "")))</f>
        <v/>
      </c>
      <c r="BC43" s="6" t="str" cm="1">
        <f t="array" ref="BC43">INDEX($BB$1:$BB$100,INT((ROW(A43)-1)/3)+1)</f>
        <v>Patient Participation</v>
      </c>
      <c r="BD43" s="6" t="str" cm="1">
        <f t="array" ref="BD43">INDEX({"OR","RRR","ME"},MOD(ROW(AJ43)-1,3)+1)</f>
        <v>OR</v>
      </c>
      <c r="BF43" s="1" t="str" cm="1">
        <f t="array" ref="BF43">INDEX($BB$1:$BB$100,INT((ROW(A43)-1)/2)+1)</f>
        <v>Ultra Orphan Drug</v>
      </c>
      <c r="BG43" s="6" t="str" cm="1">
        <f t="array" ref="BG43">INDEX({"OR / RRR";"ME"}, MOD(ROW(AJ43)-1, 2)+1)</f>
        <v>OR / RRR</v>
      </c>
    </row>
    <row r="44" spans="1:59" ht="45">
      <c r="A44" s="134" t="s">
        <v>984</v>
      </c>
      <c r="B44" s="110" t="s">
        <v>878</v>
      </c>
      <c r="C44" s="101" t="s">
        <v>985</v>
      </c>
      <c r="D44" s="93" t="s">
        <v>894</v>
      </c>
      <c r="E44" s="95">
        <v>0.30499999999999999</v>
      </c>
      <c r="F44" s="95">
        <f t="shared" ref="F44:F49" si="36">E44-1.96*H44</f>
        <v>0.17171999999999998</v>
      </c>
      <c r="G44" s="95">
        <f t="shared" ref="G44:G49" si="37">E44+1.96*H44</f>
        <v>0.43828</v>
      </c>
      <c r="H44" s="95">
        <v>6.8000000000000005E-2</v>
      </c>
      <c r="I44" s="95"/>
      <c r="J44" s="96">
        <v>0.01</v>
      </c>
      <c r="K44" s="96" t="s">
        <v>548</v>
      </c>
      <c r="L44" s="92" t="s">
        <v>893</v>
      </c>
      <c r="R44" s="44" t="str">
        <f t="shared" si="26"/>
        <v>Patient Participation</v>
      </c>
      <c r="S44" s="51" t="str">
        <f t="shared" si="27"/>
        <v>OR</v>
      </c>
      <c r="T44" s="51" t="str">
        <f t="shared" si="4"/>
        <v>0,41-1,12</v>
      </c>
      <c r="U44" s="199">
        <f t="shared" si="5"/>
        <v>0.4093</v>
      </c>
      <c r="V44" s="199">
        <f t="shared" si="6"/>
        <v>1.119</v>
      </c>
      <c r="W44" s="51" t="str" cm="1">
        <f t="array" ref="W44">_xlfn.TEXTJOIN(", ", TRUE, _xlfn.UNIQUE(_xlfn._xlws.FILTER(K$2:K$100, (A$2:A$100 = R44) * (D$2:D$100 = S44))))</f>
        <v>Wales (UK)</v>
      </c>
      <c r="X44" s="51" t="str" cm="1">
        <f t="array" ref="X44">_xlfn.TEXTJOIN(", ", TRUE, _xlfn.UNIQUE(IF((A$2:A$100 = R44) * (D$2:D$100 = S44), L$2:L$100, "")))</f>
        <v>(Linley &amp; Hughes, 2012)</v>
      </c>
      <c r="AC44" s="44" t="str">
        <f t="shared" si="28"/>
        <v>Patient Participation</v>
      </c>
      <c r="AD44" s="51" t="str">
        <f t="shared" si="29"/>
        <v>OR</v>
      </c>
      <c r="AE44" s="51" t="e">
        <f t="shared" si="7"/>
        <v>#VALUE!</v>
      </c>
      <c r="AF44" s="51" t="str">
        <f t="shared" si="8"/>
        <v>NA</v>
      </c>
      <c r="AG44" s="51" t="str">
        <f t="shared" si="9"/>
        <v>NA</v>
      </c>
      <c r="AH44" s="51" t="str" cm="1">
        <f t="array" ref="AH44">IFERROR(_xlfn.TEXTJOIN(", ", TRUE, _xlfn.UNIQUE(_xlfn._xlws.FILTER(K$2:K$100, (A$2:A$100 = R44) * (D$2:D$100 = S44) * ((J$2:J$100 &lt;= 0.05))))), "")</f>
        <v/>
      </c>
      <c r="AI44" s="51" t="str" cm="1">
        <f t="array" ref="AI44">_xlfn.TEXTJOIN(", ", TRUE, _xlfn.UNIQUE(IF((A$2:A$100 = R44) * (D$2:D$100 = S44) * ((J$2:J$100 &lt;= 0.05)), L$2:L$100, "")))</f>
        <v/>
      </c>
      <c r="AJ44" s="51" t="str">
        <f t="shared" si="14"/>
        <v>OR / RRR</v>
      </c>
      <c r="AM44" s="44" t="str">
        <f t="shared" ref="AM44:AM49" si="38">BF43</f>
        <v>Ultra Orphan Drug</v>
      </c>
      <c r="AN44" s="46" t="str">
        <f t="shared" ref="AN44:AN49" si="39">BG43</f>
        <v>OR / RRR</v>
      </c>
      <c r="AO44" s="194" t="str">
        <f t="shared" si="15"/>
        <v>NO DATA</v>
      </c>
      <c r="AP44" s="200">
        <f t="shared" si="12"/>
        <v>0</v>
      </c>
      <c r="AQ44" s="46">
        <f t="shared" si="13"/>
        <v>0</v>
      </c>
      <c r="AR44" s="51" t="str" cm="1">
        <f t="array" ref="AR44">_xlfn.TEXTJOIN(", ", TRUE, _xlfn.UNIQUE(IF((AC$2:AC$100 = AM44) * (AJ$2:AJ$100 = AN44), AH$2:AH$100, "")))</f>
        <v/>
      </c>
      <c r="AS44" s="51" t="str" cm="1">
        <f t="array" ref="AS44">_xlfn.TEXTJOIN(", ", TRUE, _xlfn.UNIQUE(IF((AC$2:AC$100 = AM44) * (AJ$2:AJ$100 = AN44), AI$2:AI$100, "")))</f>
        <v/>
      </c>
      <c r="BC44" s="6" t="str" cm="1">
        <f t="array" ref="BC44">INDEX($BB$1:$BB$100,INT((ROW(A44)-1)/3)+1)</f>
        <v>Patient Participation</v>
      </c>
      <c r="BD44" s="6" t="str" cm="1">
        <f t="array" ref="BD44">INDEX({"OR","RRR","ME"},MOD(ROW(AJ44)-1,3)+1)</f>
        <v>RRR</v>
      </c>
      <c r="BF44" s="1" t="str" cm="1">
        <f t="array" ref="BF44">INDEX($BB$1:$BB$100,INT((ROW(A44)-1)/2)+1)</f>
        <v>Ultra Orphan Drug</v>
      </c>
      <c r="BG44" s="6" t="str" cm="1">
        <f t="array" ref="BG44">INDEX({"OR / RRR";"ME"}, MOD(ROW(AJ44)-1, 2)+1)</f>
        <v>ME</v>
      </c>
    </row>
    <row r="45" spans="1:59" ht="45">
      <c r="A45" s="134" t="s">
        <v>984</v>
      </c>
      <c r="B45" s="110" t="s">
        <v>878</v>
      </c>
      <c r="C45" s="101" t="s">
        <v>985</v>
      </c>
      <c r="D45" s="93" t="s">
        <v>894</v>
      </c>
      <c r="E45" s="95">
        <v>0.23799999999999999</v>
      </c>
      <c r="F45" s="95">
        <f t="shared" si="36"/>
        <v>7.7279999999999988E-2</v>
      </c>
      <c r="G45" s="95">
        <f t="shared" si="37"/>
        <v>0.39871999999999996</v>
      </c>
      <c r="H45" s="95">
        <v>8.2000000000000003E-2</v>
      </c>
      <c r="I45" s="95"/>
      <c r="J45" s="96">
        <v>0.01</v>
      </c>
      <c r="K45" s="96" t="s">
        <v>961</v>
      </c>
      <c r="L45" s="92" t="s">
        <v>893</v>
      </c>
      <c r="R45" s="44" t="str">
        <f t="shared" si="26"/>
        <v>Patient Participation</v>
      </c>
      <c r="S45" s="51" t="str">
        <f t="shared" si="27"/>
        <v>RRR</v>
      </c>
      <c r="T45" s="51" t="str">
        <f t="shared" si="4"/>
        <v>0,17-4,74</v>
      </c>
      <c r="U45" s="199">
        <f t="shared" si="5"/>
        <v>0.16696016966704069</v>
      </c>
      <c r="V45" s="199">
        <f t="shared" si="6"/>
        <v>4.7350865251594234</v>
      </c>
      <c r="W45" s="51" t="str" cm="1">
        <f t="array" ref="W45">_xlfn.TEXTJOIN(", ", TRUE, _xlfn.UNIQUE(_xlfn._xlws.FILTER(K$2:K$100, (A$2:A$100 = R45) * (D$2:D$100 = S45))))</f>
        <v>Netherlands, UK</v>
      </c>
      <c r="X45" s="51" t="str" cm="1">
        <f t="array" ref="X45">_xlfn.TEXTJOIN(", ", TRUE, _xlfn.UNIQUE(IF((A$2:A$100 = R45) * (D$2:D$100 = S45), L$2:L$100, "")))</f>
        <v>(Cerri, Knapp, &amp; Fernandez, 2014a), (H. A. Dakin et al., 2006)</v>
      </c>
      <c r="AC45" s="44" t="str">
        <f t="shared" si="28"/>
        <v>Patient Participation</v>
      </c>
      <c r="AD45" s="51" t="str">
        <f t="shared" si="29"/>
        <v>RRR</v>
      </c>
      <c r="AE45" s="51">
        <f t="shared" si="7"/>
        <v>0.17</v>
      </c>
      <c r="AF45" s="51">
        <f t="shared" si="8"/>
        <v>0.16696016966704069</v>
      </c>
      <c r="AG45" s="51">
        <f t="shared" si="9"/>
        <v>0.16696016966704069</v>
      </c>
      <c r="AH45" s="51" t="str" cm="1">
        <f t="array" ref="AH45">IFERROR(_xlfn.TEXTJOIN(", ", TRUE, _xlfn.UNIQUE(_xlfn._xlws.FILTER(K$2:K$100, (A$2:A$100 = R45) * (D$2:D$100 = S45) * ((J$2:J$100 &lt;= 0.05))))), "")</f>
        <v>Netherlands</v>
      </c>
      <c r="AI45" s="51" t="str" cm="1">
        <f t="array" ref="AI45">_xlfn.TEXTJOIN(", ", TRUE, _xlfn.UNIQUE(IF((A$2:A$100 = R45) * (D$2:D$100 = S45) * ((J$2:J$100 &lt;= 0.05)), L$2:L$100, "")))</f>
        <v>(Cerri, Knapp, &amp; Fernandez, 2014a)</v>
      </c>
      <c r="AJ45" s="51" t="str">
        <f t="shared" si="14"/>
        <v>OR / RRR</v>
      </c>
      <c r="AM45" s="44" t="str">
        <f t="shared" si="38"/>
        <v>Ultra Orphan Drug</v>
      </c>
      <c r="AN45" s="46" t="str">
        <f t="shared" si="39"/>
        <v>ME</v>
      </c>
      <c r="AO45" s="194" t="str">
        <f t="shared" si="15"/>
        <v>NO DATA</v>
      </c>
      <c r="AP45" s="200">
        <f t="shared" si="12"/>
        <v>0</v>
      </c>
      <c r="AQ45" s="46">
        <f t="shared" si="13"/>
        <v>0</v>
      </c>
      <c r="AR45" s="51" t="str" cm="1">
        <f t="array" ref="AR45">_xlfn.TEXTJOIN(", ", TRUE, _xlfn.UNIQUE(IF((AC$2:AC$100 = AM45) * (AJ$2:AJ$100 = AN45), AH$2:AH$100, "")))</f>
        <v/>
      </c>
      <c r="AS45" s="51" t="str" cm="1">
        <f t="array" ref="AS45">_xlfn.TEXTJOIN(", ", TRUE, _xlfn.UNIQUE(IF((AC$2:AC$100 = AM45) * (AJ$2:AJ$100 = AN45), AI$2:AI$100, "")))</f>
        <v/>
      </c>
      <c r="BC45" s="6" t="str" cm="1">
        <f t="array" ref="BC45">INDEX($BB$1:$BB$100,INT((ROW(A45)-1)/3)+1)</f>
        <v>Patient Participation</v>
      </c>
      <c r="BD45" s="6" t="str" cm="1">
        <f t="array" ref="BD45">INDEX({"OR","RRR","ME"},MOD(ROW(AJ45)-1,3)+1)</f>
        <v>ME</v>
      </c>
      <c r="BF45" s="1" t="str" cm="1">
        <f t="array" ref="BF45">INDEX($BB$1:$BB$100,INT((ROW(A45)-1)/2)+1)</f>
        <v>Unmet Need</v>
      </c>
      <c r="BG45" s="6" t="str" cm="1">
        <f t="array" ref="BG45">INDEX({"OR / RRR";"ME"}, MOD(ROW(AJ45)-1, 2)+1)</f>
        <v>OR / RRR</v>
      </c>
    </row>
    <row r="46" spans="1:59" ht="45">
      <c r="A46" s="134" t="s">
        <v>984</v>
      </c>
      <c r="B46" s="110" t="s">
        <v>878</v>
      </c>
      <c r="C46" s="101" t="s">
        <v>985</v>
      </c>
      <c r="D46" s="93" t="s">
        <v>894</v>
      </c>
      <c r="E46" s="95">
        <v>0.23699999999999999</v>
      </c>
      <c r="F46" s="95">
        <f t="shared" si="36"/>
        <v>0.14291999999999999</v>
      </c>
      <c r="G46" s="95">
        <f t="shared" si="37"/>
        <v>0.33107999999999999</v>
      </c>
      <c r="H46" s="95">
        <v>4.8000000000000001E-2</v>
      </c>
      <c r="I46" s="95"/>
      <c r="J46" s="96">
        <v>0.01</v>
      </c>
      <c r="K46" s="96" t="s">
        <v>50</v>
      </c>
      <c r="L46" s="92" t="s">
        <v>893</v>
      </c>
      <c r="R46" s="44" t="str">
        <f t="shared" si="26"/>
        <v>Patient Participation</v>
      </c>
      <c r="S46" s="51" t="str">
        <f t="shared" si="27"/>
        <v>ME</v>
      </c>
      <c r="T46" s="51" t="str">
        <f t="shared" si="4"/>
        <v>NO DATA</v>
      </c>
      <c r="U46" s="199">
        <f t="shared" si="5"/>
        <v>0</v>
      </c>
      <c r="V46" s="199">
        <f t="shared" si="6"/>
        <v>0</v>
      </c>
      <c r="W46" s="51" t="e" cm="1" vm="1">
        <f t="array" ref="W46">_xlfn.TEXTJOIN(", ", TRUE, _xlfn.UNIQUE(_xlfn._xlws.FILTER(K$2:K$100, (A$2:A$100 = R46) * (D$2:D$100 = S46))))</f>
        <v>#VALUE!</v>
      </c>
      <c r="X46" s="51" t="str" cm="1">
        <f t="array" ref="X46">_xlfn.TEXTJOIN(", ", TRUE, _xlfn.UNIQUE(IF((A$2:A$100 = R46) * (D$2:D$100 = S46), L$2:L$100, "")))</f>
        <v/>
      </c>
      <c r="AC46" s="44" t="str">
        <f t="shared" si="28"/>
        <v>Patient Participation</v>
      </c>
      <c r="AD46" s="51" t="str">
        <f t="shared" si="29"/>
        <v>ME</v>
      </c>
      <c r="AE46" s="51" t="e">
        <f t="shared" si="7"/>
        <v>#VALUE!</v>
      </c>
      <c r="AF46" s="51" t="str">
        <f t="shared" si="8"/>
        <v>NA</v>
      </c>
      <c r="AG46" s="51" t="str">
        <f t="shared" si="9"/>
        <v>NA</v>
      </c>
      <c r="AH46" s="51" t="str" cm="1">
        <f t="array" ref="AH46">IFERROR(_xlfn.TEXTJOIN(", ", TRUE, _xlfn.UNIQUE(_xlfn._xlws.FILTER(K$2:K$100, (A$2:A$100 = R46) * (D$2:D$100 = S46) * ((J$2:J$100 &lt;= 0.05))))), "")</f>
        <v/>
      </c>
      <c r="AI46" s="51" t="str" cm="1">
        <f t="array" ref="AI46">_xlfn.TEXTJOIN(", ", TRUE, _xlfn.UNIQUE(IF((A$2:A$100 = R46) * (D$2:D$100 = S46) * ((J$2:J$100 &lt;= 0.05)), L$2:L$100, "")))</f>
        <v/>
      </c>
      <c r="AJ46" s="51" t="str">
        <f t="shared" si="14"/>
        <v>ME</v>
      </c>
      <c r="AM46" s="44" t="str">
        <f t="shared" si="38"/>
        <v>Unmet Need</v>
      </c>
      <c r="AN46" s="46" t="str">
        <f t="shared" si="39"/>
        <v>OR / RRR</v>
      </c>
      <c r="AO46" s="194">
        <f t="shared" si="15"/>
        <v>25.55</v>
      </c>
      <c r="AP46" s="200">
        <f t="shared" si="12"/>
        <v>25.552</v>
      </c>
      <c r="AQ46" s="46">
        <f t="shared" si="13"/>
        <v>25.552</v>
      </c>
      <c r="AR46" s="51" t="str" cm="1">
        <f t="array" ref="AR46">_xlfn.TEXTJOIN(", ", TRUE, _xlfn.UNIQUE(IF((AC$2:AC$100 = AM46) * (AJ$2:AJ$100 = AN46), AH$2:AH$100, "")))</f>
        <v>South Korea</v>
      </c>
      <c r="AS46" s="51" t="str" cm="1">
        <f t="array" ref="AS46">_xlfn.TEXTJOIN(", ", TRUE, _xlfn.UNIQUE(IF((AC$2:AC$100 = AM46) * (AJ$2:AJ$100 = AN46), AI$2:AI$100, "")))</f>
        <v>(Bae et al., 2018)</v>
      </c>
      <c r="BC46" s="6" t="str" cm="1">
        <f t="array" ref="BC46">INDEX($BB$1:$BB$100,INT((ROW(A46)-1)/3)+1)</f>
        <v>Patient Population Not Reported</v>
      </c>
      <c r="BD46" s="6" t="str" cm="1">
        <f t="array" ref="BD46">INDEX({"OR","RRR","ME"},MOD(ROW(AJ46)-1,3)+1)</f>
        <v>OR</v>
      </c>
      <c r="BF46" s="1" t="str" cm="1">
        <f t="array" ref="BF46">INDEX($BB$1:$BB$100,INT((ROW(A46)-1)/2)+1)</f>
        <v>Unmet Need</v>
      </c>
      <c r="BG46" s="6" t="str" cm="1">
        <f t="array" ref="BG46">INDEX({"OR / RRR";"ME"}, MOD(ROW(AJ46)-1, 2)+1)</f>
        <v>ME</v>
      </c>
    </row>
    <row r="47" spans="1:59" ht="45">
      <c r="A47" s="134" t="s">
        <v>984</v>
      </c>
      <c r="B47" s="110" t="s">
        <v>878</v>
      </c>
      <c r="C47" s="101" t="s">
        <v>985</v>
      </c>
      <c r="D47" s="93" t="s">
        <v>894</v>
      </c>
      <c r="E47" s="95">
        <v>8.6999999999999994E-2</v>
      </c>
      <c r="F47" s="95">
        <f t="shared" si="36"/>
        <v>1.4479999999999993E-2</v>
      </c>
      <c r="G47" s="95">
        <f t="shared" si="37"/>
        <v>0.15952</v>
      </c>
      <c r="H47" s="95">
        <v>3.6999999999999998E-2</v>
      </c>
      <c r="I47" s="95"/>
      <c r="J47" s="96">
        <v>0.01</v>
      </c>
      <c r="K47" s="96" t="s">
        <v>86</v>
      </c>
      <c r="L47" s="92" t="s">
        <v>893</v>
      </c>
      <c r="R47" s="44" t="str">
        <f t="shared" si="26"/>
        <v>Patient Population Not Reported</v>
      </c>
      <c r="S47" s="51" t="str">
        <f t="shared" si="27"/>
        <v>OR</v>
      </c>
      <c r="T47" s="51">
        <f t="shared" si="4"/>
        <v>0.66</v>
      </c>
      <c r="U47" s="199">
        <f t="shared" si="5"/>
        <v>0.65507863311180625</v>
      </c>
      <c r="V47" s="199">
        <f t="shared" si="6"/>
        <v>0.65507863311180625</v>
      </c>
      <c r="W47" s="51" t="str" cm="1">
        <f t="array" ref="W47">_xlfn.TEXTJOIN(", ", TRUE, _xlfn.UNIQUE(_xlfn._xlws.FILTER(K$2:K$100, (A$2:A$100 = R47) * (D$2:D$100 = S47))))</f>
        <v>Australia</v>
      </c>
      <c r="X47" s="51" t="str" cm="1">
        <f t="array" ref="X47">_xlfn.TEXTJOIN(", ", TRUE, _xlfn.UNIQUE(IF((A$2:A$100 = R47) * (D$2:D$100 = S47), L$2:L$100, "")))</f>
        <v>(Haque et al., 2023)</v>
      </c>
      <c r="AC47" s="44" t="str">
        <f t="shared" si="28"/>
        <v>Patient Population Not Reported</v>
      </c>
      <c r="AD47" s="51" t="str">
        <f t="shared" si="29"/>
        <v>OR</v>
      </c>
      <c r="AE47" s="51" t="e">
        <f t="shared" si="7"/>
        <v>#VALUE!</v>
      </c>
      <c r="AF47" s="51" t="str">
        <f t="shared" si="8"/>
        <v>NA</v>
      </c>
      <c r="AG47" s="51" t="str">
        <f t="shared" si="9"/>
        <v>NA</v>
      </c>
      <c r="AH47" s="51" t="str" cm="1">
        <f t="array" ref="AH47">IFERROR(_xlfn.TEXTJOIN(", ", TRUE, _xlfn.UNIQUE(_xlfn._xlws.FILTER(K$2:K$100, (A$2:A$100 = R47) * (D$2:D$100 = S47) * ((J$2:J$100 &lt;= 0.05))))), "")</f>
        <v/>
      </c>
      <c r="AI47" s="51" t="str" cm="1">
        <f t="array" ref="AI47">_xlfn.TEXTJOIN(", ", TRUE, _xlfn.UNIQUE(IF((A$2:A$100 = R47) * (D$2:D$100 = S47) * ((J$2:J$100 &lt;= 0.05)), L$2:L$100, "")))</f>
        <v/>
      </c>
      <c r="AJ47" s="51" t="str">
        <f t="shared" si="14"/>
        <v>OR / RRR</v>
      </c>
      <c r="AM47" s="44" t="str">
        <f t="shared" si="38"/>
        <v>Unmet Need</v>
      </c>
      <c r="AN47" s="46" t="str">
        <f t="shared" si="39"/>
        <v>ME</v>
      </c>
      <c r="AO47" s="194" t="str">
        <f t="shared" si="15"/>
        <v>NO DATA</v>
      </c>
      <c r="AP47" s="200">
        <f t="shared" si="12"/>
        <v>0</v>
      </c>
      <c r="AQ47" s="46">
        <f t="shared" si="13"/>
        <v>0</v>
      </c>
      <c r="AR47" s="51" t="str" cm="1">
        <f t="array" ref="AR47">_xlfn.TEXTJOIN(", ", TRUE, _xlfn.UNIQUE(IF((AC$2:AC$100 = AM47) * (AJ$2:AJ$100 = AN47), AH$2:AH$100, "")))</f>
        <v/>
      </c>
      <c r="AS47" s="51" t="str" cm="1">
        <f t="array" ref="AS47">_xlfn.TEXTJOIN(", ", TRUE, _xlfn.UNIQUE(IF((AC$2:AC$100 = AM47) * (AJ$2:AJ$100 = AN47), AI$2:AI$100, "")))</f>
        <v/>
      </c>
      <c r="BC47" s="6" t="str" cm="1">
        <f t="array" ref="BC47">INDEX($BB$1:$BB$100,INT((ROW(A47)-1)/3)+1)</f>
        <v>Patient Population Not Reported</v>
      </c>
      <c r="BD47" s="6" t="str" cm="1">
        <f t="array" ref="BD47">INDEX({"OR","RRR","ME"},MOD(ROW(AJ47)-1,3)+1)</f>
        <v>RRR</v>
      </c>
      <c r="BF47" s="1" t="str" cm="1">
        <f t="array" ref="BF47">INDEX($BB$1:$BB$100,INT((ROW(A47)-1)/2)+1)</f>
        <v>Unstable</v>
      </c>
      <c r="BG47" s="6" t="str" cm="1">
        <f t="array" ref="BG47">INDEX({"OR / RRR";"ME"}, MOD(ROW(AJ47)-1, 2)+1)</f>
        <v>OR / RRR</v>
      </c>
    </row>
    <row r="48" spans="1:59" ht="45">
      <c r="A48" s="134" t="s">
        <v>984</v>
      </c>
      <c r="B48" s="110" t="s">
        <v>878</v>
      </c>
      <c r="C48" s="101" t="s">
        <v>985</v>
      </c>
      <c r="D48" s="93" t="s">
        <v>894</v>
      </c>
      <c r="E48" s="95">
        <v>7.1999999999999995E-2</v>
      </c>
      <c r="F48" s="95">
        <f t="shared" si="36"/>
        <v>3.2799999999999996E-2</v>
      </c>
      <c r="G48" s="95">
        <f t="shared" si="37"/>
        <v>0.11119999999999999</v>
      </c>
      <c r="H48" s="95">
        <v>0.02</v>
      </c>
      <c r="I48" s="95"/>
      <c r="J48" s="96">
        <v>0.01</v>
      </c>
      <c r="K48" s="96" t="s">
        <v>960</v>
      </c>
      <c r="L48" s="92" t="s">
        <v>893</v>
      </c>
      <c r="R48" s="44" t="str">
        <f t="shared" si="26"/>
        <v>Patient Population Not Reported</v>
      </c>
      <c r="S48" s="51" t="str">
        <f t="shared" si="27"/>
        <v>RRR</v>
      </c>
      <c r="T48" s="51" t="str">
        <f t="shared" si="4"/>
        <v>NO DATA</v>
      </c>
      <c r="U48" s="199">
        <f t="shared" si="5"/>
        <v>0</v>
      </c>
      <c r="V48" s="199">
        <f t="shared" si="6"/>
        <v>0</v>
      </c>
      <c r="W48" s="51" t="e" cm="1" vm="1">
        <f t="array" ref="W48">_xlfn.TEXTJOIN(", ", TRUE, _xlfn.UNIQUE(_xlfn._xlws.FILTER(K$2:K$100, (A$2:A$100 = R48) * (D$2:D$100 = S48))))</f>
        <v>#VALUE!</v>
      </c>
      <c r="X48" s="51" t="str" cm="1">
        <f t="array" ref="X48">_xlfn.TEXTJOIN(", ", TRUE, _xlfn.UNIQUE(IF((A$2:A$100 = R48) * (D$2:D$100 = S48), L$2:L$100, "")))</f>
        <v/>
      </c>
      <c r="AC48" s="44" t="str">
        <f t="shared" si="28"/>
        <v>Patient Population Not Reported</v>
      </c>
      <c r="AD48" s="51" t="str">
        <f t="shared" si="29"/>
        <v>RRR</v>
      </c>
      <c r="AE48" s="51" t="e">
        <f t="shared" si="7"/>
        <v>#VALUE!</v>
      </c>
      <c r="AF48" s="51" t="str">
        <f t="shared" si="8"/>
        <v>NA</v>
      </c>
      <c r="AG48" s="51" t="str">
        <f t="shared" si="9"/>
        <v>NA</v>
      </c>
      <c r="AH48" s="51" t="str" cm="1">
        <f t="array" ref="AH48">IFERROR(_xlfn.TEXTJOIN(", ", TRUE, _xlfn.UNIQUE(_xlfn._xlws.FILTER(K$2:K$100, (A$2:A$100 = R48) * (D$2:D$100 = S48) * ((J$2:J$100 &lt;= 0.05))))), "")</f>
        <v/>
      </c>
      <c r="AI48" s="51" t="str" cm="1">
        <f t="array" ref="AI48">_xlfn.TEXTJOIN(", ", TRUE, _xlfn.UNIQUE(IF((A$2:A$100 = R48) * (D$2:D$100 = S48) * ((J$2:J$100 &lt;= 0.05)), L$2:L$100, "")))</f>
        <v/>
      </c>
      <c r="AJ48" s="51" t="str">
        <f t="shared" si="14"/>
        <v>OR / RRR</v>
      </c>
      <c r="AM48" s="44" t="str">
        <f t="shared" si="38"/>
        <v>Unstable</v>
      </c>
      <c r="AN48" s="46" t="str">
        <f t="shared" si="39"/>
        <v>OR / RRR</v>
      </c>
      <c r="AO48" s="194" t="str">
        <f t="shared" si="15"/>
        <v>NO DATA</v>
      </c>
      <c r="AP48" s="200">
        <f t="shared" si="12"/>
        <v>0</v>
      </c>
      <c r="AQ48" s="46">
        <f t="shared" si="13"/>
        <v>0</v>
      </c>
      <c r="AR48" s="51" t="str" cm="1">
        <f t="array" ref="AR48">_xlfn.TEXTJOIN(", ", TRUE, _xlfn.UNIQUE(IF((AC$2:AC$100 = AM48) * (AJ$2:AJ$100 = AN48), AH$2:AH$100, "")))</f>
        <v/>
      </c>
      <c r="AS48" s="51" t="str" cm="1">
        <f t="array" ref="AS48">_xlfn.TEXTJOIN(", ", TRUE, _xlfn.UNIQUE(IF((AC$2:AC$100 = AM48) * (AJ$2:AJ$100 = AN48), AI$2:AI$100, "")))</f>
        <v/>
      </c>
      <c r="BC48" s="6" t="str" cm="1">
        <f t="array" ref="BC48">INDEX($BB$1:$BB$100,INT((ROW(A48)-1)/3)+1)</f>
        <v>Patient Population Not Reported</v>
      </c>
      <c r="BD48" s="6" t="str" cm="1">
        <f t="array" ref="BD48">INDEX({"OR","RRR","ME"},MOD(ROW(AJ48)-1,3)+1)</f>
        <v>ME</v>
      </c>
      <c r="BF48" s="1" t="str" cm="1">
        <f t="array" ref="BF48">INDEX($BB$1:$BB$100,INT((ROW(A48)-1)/2)+1)</f>
        <v>Unstable</v>
      </c>
      <c r="BG48" s="6" t="str" cm="1">
        <f t="array" ref="BG48">INDEX({"OR / RRR";"ME"}, MOD(ROW(AJ48)-1, 2)+1)</f>
        <v>ME</v>
      </c>
    </row>
    <row r="49" spans="1:59" ht="45">
      <c r="A49" s="134" t="s">
        <v>984</v>
      </c>
      <c r="B49" s="110" t="s">
        <v>878</v>
      </c>
      <c r="C49" s="101" t="s">
        <v>985</v>
      </c>
      <c r="D49" s="93" t="s">
        <v>894</v>
      </c>
      <c r="E49" s="95">
        <v>3.4000000000000002E-2</v>
      </c>
      <c r="F49" s="95">
        <f t="shared" si="36"/>
        <v>1.8320000000000003E-2</v>
      </c>
      <c r="G49" s="95">
        <f t="shared" si="37"/>
        <v>4.9680000000000002E-2</v>
      </c>
      <c r="H49" s="95">
        <v>8.0000000000000002E-3</v>
      </c>
      <c r="I49" s="95"/>
      <c r="J49" s="96">
        <v>0.01</v>
      </c>
      <c r="K49" s="96" t="s">
        <v>365</v>
      </c>
      <c r="L49" s="92" t="s">
        <v>893</v>
      </c>
      <c r="R49" s="44" t="str">
        <f t="shared" si="26"/>
        <v>Patient Population Not Reported</v>
      </c>
      <c r="S49" s="51" t="str">
        <f t="shared" si="27"/>
        <v>ME</v>
      </c>
      <c r="T49" s="51" t="str">
        <f t="shared" si="4"/>
        <v>NO DATA</v>
      </c>
      <c r="U49" s="199">
        <f t="shared" si="5"/>
        <v>0</v>
      </c>
      <c r="V49" s="199">
        <f t="shared" si="6"/>
        <v>0</v>
      </c>
      <c r="W49" s="51" t="e" cm="1" vm="1">
        <f t="array" ref="W49">_xlfn.TEXTJOIN(", ", TRUE, _xlfn.UNIQUE(_xlfn._xlws.FILTER(K$2:K$100, (A$2:A$100 = R49) * (D$2:D$100 = S49))))</f>
        <v>#VALUE!</v>
      </c>
      <c r="X49" s="51" t="str" cm="1">
        <f t="array" ref="X49">_xlfn.TEXTJOIN(", ", TRUE, _xlfn.UNIQUE(IF((A$2:A$100 = R49) * (D$2:D$100 = S49), L$2:L$100, "")))</f>
        <v/>
      </c>
      <c r="AC49" s="44" t="str">
        <f t="shared" si="28"/>
        <v>Patient Population Not Reported</v>
      </c>
      <c r="AD49" s="51" t="str">
        <f t="shared" si="29"/>
        <v>ME</v>
      </c>
      <c r="AE49" s="51" t="e">
        <f t="shared" si="7"/>
        <v>#VALUE!</v>
      </c>
      <c r="AF49" s="51" t="str">
        <f t="shared" si="8"/>
        <v>NA</v>
      </c>
      <c r="AG49" s="51" t="str">
        <f t="shared" si="9"/>
        <v>NA</v>
      </c>
      <c r="AH49" s="51" t="str" cm="1">
        <f t="array" ref="AH49">IFERROR(_xlfn.TEXTJOIN(", ", TRUE, _xlfn.UNIQUE(_xlfn._xlws.FILTER(K$2:K$100, (A$2:A$100 = R49) * (D$2:D$100 = S49) * ((J$2:J$100 &lt;= 0.05))))), "")</f>
        <v/>
      </c>
      <c r="AI49" s="51" t="str" cm="1">
        <f t="array" ref="AI49">_xlfn.TEXTJOIN(", ", TRUE, _xlfn.UNIQUE(IF((A$2:A$100 = R49) * (D$2:D$100 = S49) * ((J$2:J$100 &lt;= 0.05)), L$2:L$100, "")))</f>
        <v/>
      </c>
      <c r="AJ49" s="51" t="str">
        <f t="shared" si="14"/>
        <v>ME</v>
      </c>
      <c r="AM49" s="44" t="str">
        <f t="shared" si="38"/>
        <v>Unstable</v>
      </c>
      <c r="AN49" s="46" t="str">
        <f t="shared" si="39"/>
        <v>ME</v>
      </c>
      <c r="AO49" s="194" t="str">
        <f t="shared" si="15"/>
        <v>NO DATA</v>
      </c>
      <c r="AP49" s="200">
        <f t="shared" si="12"/>
        <v>0</v>
      </c>
      <c r="AQ49" s="46">
        <f t="shared" si="13"/>
        <v>0</v>
      </c>
      <c r="AR49" s="51" t="str" cm="1">
        <f t="array" ref="AR49">_xlfn.TEXTJOIN(", ", TRUE, _xlfn.UNIQUE(IF((AC$2:AC$100 = AM49) * (AJ$2:AJ$100 = AN49), AH$2:AH$100, "")))</f>
        <v/>
      </c>
      <c r="AS49" s="51" t="str" cm="1">
        <f t="array" ref="AS49">_xlfn.TEXTJOIN(", ", TRUE, _xlfn.UNIQUE(IF((AC$2:AC$100 = AM49) * (AJ$2:AJ$100 = AN49), AI$2:AI$100, "")))</f>
        <v/>
      </c>
      <c r="BC49" s="6" t="str" cm="1">
        <f t="array" ref="BC49">INDEX($BB$1:$BB$100,INT((ROW(A49)-1)/3)+1)</f>
        <v>Preventive vs Curative</v>
      </c>
      <c r="BD49" s="6" t="str" cm="1">
        <f t="array" ref="BD49">INDEX({"OR","RRR","ME"},MOD(ROW(AJ49)-1,3)+1)</f>
        <v>OR</v>
      </c>
      <c r="BF49" s="1" cm="1">
        <f t="array" ref="BF49">INDEX($BB$1:$BB$100,INT((ROW(A49)-1)/2)+1)</f>
        <v>0</v>
      </c>
      <c r="BG49" s="6" t="str" cm="1">
        <f t="array" ref="BG49">INDEX({"OR / RRR";"ME"}, MOD(ROW(AJ49)-1, 2)+1)</f>
        <v>OR / RRR</v>
      </c>
    </row>
    <row r="50" spans="1:59" ht="94.5" customHeight="1">
      <c r="A50" s="134" t="s">
        <v>984</v>
      </c>
      <c r="B50" s="110" t="s">
        <v>878</v>
      </c>
      <c r="C50" s="192" t="s">
        <v>985</v>
      </c>
      <c r="D50" s="93" t="s">
        <v>891</v>
      </c>
      <c r="E50" s="95">
        <v>0.77400000000000002</v>
      </c>
      <c r="F50" s="95"/>
      <c r="G50" s="95"/>
      <c r="H50" s="95">
        <v>0.33600000000000002</v>
      </c>
      <c r="I50" s="95"/>
      <c r="J50" s="118" t="s">
        <v>886</v>
      </c>
      <c r="K50" s="96" t="s">
        <v>987</v>
      </c>
      <c r="L50" s="119" t="s">
        <v>893</v>
      </c>
      <c r="R50" s="44" t="str">
        <f t="shared" si="26"/>
        <v>Preventive vs Curative</v>
      </c>
      <c r="S50" s="51" t="str">
        <f t="shared" si="27"/>
        <v>OR</v>
      </c>
      <c r="T50" s="51">
        <f t="shared" si="4"/>
        <v>0.05</v>
      </c>
      <c r="U50" s="199">
        <f t="shared" si="5"/>
        <v>4.6899999999999997E-2</v>
      </c>
      <c r="V50" s="199">
        <f t="shared" si="6"/>
        <v>4.6899999999999997E-2</v>
      </c>
      <c r="W50" s="51" t="str" cm="1">
        <f t="array" ref="W50">_xlfn.TEXTJOIN(", ", TRUE, _xlfn.UNIQUE(_xlfn._xlws.FILTER(K$2:K$100, (A$2:A$100 = R50) * (D$2:D$100 = S50))))</f>
        <v>France (SMR)</v>
      </c>
      <c r="X50" s="51" t="str" cm="1">
        <f t="array" ref="X50">_xlfn.TEXTJOIN(", ", TRUE, _xlfn.UNIQUE(IF((A$2:A$100 = R50) * (D$2:D$100 = S50), L$2:L$100, "")))</f>
        <v>(Kergall et al., 2021)</v>
      </c>
      <c r="AC50" s="44" t="str">
        <f t="shared" si="28"/>
        <v>Preventive vs Curative</v>
      </c>
      <c r="AD50" s="51" t="str">
        <f t="shared" si="29"/>
        <v>OR</v>
      </c>
      <c r="AE50" s="51">
        <f t="shared" si="7"/>
        <v>0.05</v>
      </c>
      <c r="AF50" s="51">
        <f t="shared" si="8"/>
        <v>4.6899999999999997E-2</v>
      </c>
      <c r="AG50" s="51">
        <f t="shared" si="9"/>
        <v>4.6899999999999997E-2</v>
      </c>
      <c r="AH50" s="51" t="str" cm="1">
        <f t="array" ref="AH50">IFERROR(_xlfn.TEXTJOIN(", ", TRUE, _xlfn.UNIQUE(_xlfn._xlws.FILTER(K$2:K$100, (A$2:A$100 = R50) * (D$2:D$100 = S50) * ((J$2:J$100 &lt;= 0.05))))), "")</f>
        <v>France (SMR)</v>
      </c>
      <c r="AI50" s="51" t="str" cm="1">
        <f t="array" ref="AI50">_xlfn.TEXTJOIN(", ", TRUE, _xlfn.UNIQUE(IF((A$2:A$100 = R50) * (D$2:D$100 = S50) * ((J$2:J$100 &lt;= 0.05)), L$2:L$100, "")))</f>
        <v>(Kergall et al., 2021)</v>
      </c>
      <c r="AJ50" s="51" t="str">
        <f t="shared" si="14"/>
        <v>OR / RRR</v>
      </c>
      <c r="AM50" s="44"/>
      <c r="AN50" s="46"/>
      <c r="BC50" s="6" t="str" cm="1">
        <f t="array" ref="BC50">INDEX($BB$1:$BB$100,INT((ROW(A50)-1)/3)+1)</f>
        <v>Preventive vs Curative</v>
      </c>
      <c r="BD50" s="6" t="str" cm="1">
        <f t="array" ref="BD50">INDEX({"OR","RRR","ME"},MOD(ROW(AJ50)-1,3)+1)</f>
        <v>RRR</v>
      </c>
      <c r="BF50" s="1" cm="1">
        <f t="array" ref="BF50">INDEX($BB$1:$BB$100,INT((ROW(A50)-1)/2)+1)</f>
        <v>0</v>
      </c>
      <c r="BG50" s="6" t="str" cm="1">
        <f t="array" ref="BG50">INDEX({"OR / RRR";"ME"}, MOD(ROW(AJ50)-1, 2)+1)</f>
        <v>ME</v>
      </c>
    </row>
    <row r="51" spans="1:59" ht="45">
      <c r="A51" s="134" t="s">
        <v>988</v>
      </c>
      <c r="B51" s="110" t="s">
        <v>885</v>
      </c>
      <c r="C51" s="101" t="s">
        <v>989</v>
      </c>
      <c r="D51" s="93" t="s">
        <v>894</v>
      </c>
      <c r="E51" s="95">
        <v>0.11799999999999999</v>
      </c>
      <c r="F51" s="95">
        <f>E51-1.96*H51</f>
        <v>4.3520000000000003E-2</v>
      </c>
      <c r="G51" s="95">
        <f>E51+1.96*H51</f>
        <v>0.19247999999999998</v>
      </c>
      <c r="H51" s="95">
        <v>3.7999999999999999E-2</v>
      </c>
      <c r="I51" s="95"/>
      <c r="J51" s="96">
        <v>0.01</v>
      </c>
      <c r="K51" s="96" t="s">
        <v>960</v>
      </c>
      <c r="L51" s="92" t="s">
        <v>888</v>
      </c>
      <c r="R51" s="44" t="str">
        <f t="shared" si="26"/>
        <v>Preventive vs Curative</v>
      </c>
      <c r="S51" s="51" t="str">
        <f t="shared" si="27"/>
        <v>RRR</v>
      </c>
      <c r="T51" s="51" t="str">
        <f t="shared" si="4"/>
        <v>NO DATA</v>
      </c>
      <c r="U51" s="199">
        <f t="shared" si="5"/>
        <v>0</v>
      </c>
      <c r="V51" s="199">
        <f t="shared" si="6"/>
        <v>0</v>
      </c>
      <c r="W51" s="51" t="e" cm="1" vm="1">
        <f t="array" ref="W51">_xlfn.TEXTJOIN(", ", TRUE, _xlfn.UNIQUE(_xlfn._xlws.FILTER(K$2:K$100, (A$2:A$100 = R51) * (D$2:D$100 = S51))))</f>
        <v>#VALUE!</v>
      </c>
      <c r="X51" s="51" t="str" cm="1">
        <f t="array" ref="X51">_xlfn.TEXTJOIN(", ", TRUE, _xlfn.UNIQUE(IF((A$2:A$100 = R51) * (D$2:D$100 = S51), L$2:L$100, "")))</f>
        <v/>
      </c>
      <c r="AC51" s="44" t="str">
        <f t="shared" si="28"/>
        <v>Preventive vs Curative</v>
      </c>
      <c r="AD51" s="51" t="str">
        <f t="shared" si="29"/>
        <v>RRR</v>
      </c>
      <c r="AE51" s="51" t="e">
        <f t="shared" si="7"/>
        <v>#VALUE!</v>
      </c>
      <c r="AF51" s="51" t="str">
        <f t="shared" si="8"/>
        <v>NA</v>
      </c>
      <c r="AG51" s="51" t="str">
        <f t="shared" si="9"/>
        <v>NA</v>
      </c>
      <c r="AH51" s="51" t="str" cm="1">
        <f t="array" ref="AH51">IFERROR(_xlfn.TEXTJOIN(", ", TRUE, _xlfn.UNIQUE(_xlfn._xlws.FILTER(K$2:K$100, (A$2:A$100 = R51) * (D$2:D$100 = S51) * ((J$2:J$100 &lt;= 0.05))))), "")</f>
        <v/>
      </c>
      <c r="AI51" s="51" t="str" cm="1">
        <f t="array" ref="AI51">_xlfn.TEXTJOIN(", ", TRUE, _xlfn.UNIQUE(IF((A$2:A$100 = R51) * (D$2:D$100 = S51) * ((J$2:J$100 &lt;= 0.05)), L$2:L$100, "")))</f>
        <v/>
      </c>
      <c r="AJ51" s="51" t="str">
        <f t="shared" si="14"/>
        <v>OR / RRR</v>
      </c>
      <c r="AM51" s="44"/>
      <c r="AN51" s="46"/>
      <c r="BC51" s="6" t="str" cm="1">
        <f t="array" ref="BC51">INDEX($BB$1:$BB$100,INT((ROW(A51)-1)/3)+1)</f>
        <v>Preventive vs Curative</v>
      </c>
      <c r="BD51" s="6" t="str" cm="1">
        <f t="array" ref="BD51">INDEX({"OR","RRR","ME"},MOD(ROW(AJ51)-1,3)+1)</f>
        <v>ME</v>
      </c>
      <c r="BF51" s="1" cm="1">
        <f t="array" ref="BF51">INDEX($BB$1:$BB$100,INT((ROW(A51)-1)/2)+1)</f>
        <v>0</v>
      </c>
      <c r="BG51" s="6" t="str" cm="1">
        <f t="array" ref="BG51">INDEX({"OR / RRR";"ME"}, MOD(ROW(AJ51)-1, 2)+1)</f>
        <v>OR / RRR</v>
      </c>
    </row>
    <row r="52" spans="1:59" ht="45">
      <c r="A52" s="134" t="s">
        <v>988</v>
      </c>
      <c r="B52" s="110" t="s">
        <v>885</v>
      </c>
      <c r="C52" s="101" t="s">
        <v>989</v>
      </c>
      <c r="D52" s="93" t="s">
        <v>894</v>
      </c>
      <c r="E52" s="95">
        <v>0.111</v>
      </c>
      <c r="F52" s="95">
        <f t="shared" ref="F52:F53" si="40">E52-1.96*H52</f>
        <v>1.4960000000000001E-2</v>
      </c>
      <c r="G52" s="95">
        <f t="shared" ref="G52:G53" si="41">E52+1.96*H52</f>
        <v>0.20704</v>
      </c>
      <c r="H52" s="95">
        <v>4.9000000000000002E-2</v>
      </c>
      <c r="I52" s="95"/>
      <c r="J52" s="96">
        <v>0.05</v>
      </c>
      <c r="K52" s="96" t="s">
        <v>548</v>
      </c>
      <c r="L52" s="92" t="s">
        <v>888</v>
      </c>
      <c r="R52" s="44" t="str">
        <f t="shared" si="26"/>
        <v>Preventive vs Curative</v>
      </c>
      <c r="S52" s="51" t="str">
        <f t="shared" si="27"/>
        <v>ME</v>
      </c>
      <c r="T52" s="51" t="str">
        <f t="shared" si="4"/>
        <v>NO DATA</v>
      </c>
      <c r="U52" s="199">
        <f t="shared" si="5"/>
        <v>0</v>
      </c>
      <c r="V52" s="199">
        <f t="shared" si="6"/>
        <v>0</v>
      </c>
      <c r="W52" s="51" t="e" cm="1" vm="1">
        <f t="array" ref="W52">_xlfn.TEXTJOIN(", ", TRUE, _xlfn.UNIQUE(_xlfn._xlws.FILTER(K$2:K$100, (A$2:A$100 = R52) * (D$2:D$100 = S52))))</f>
        <v>#VALUE!</v>
      </c>
      <c r="X52" s="51" t="str" cm="1">
        <f t="array" ref="X52">_xlfn.TEXTJOIN(", ", TRUE, _xlfn.UNIQUE(IF((A$2:A$100 = R52) * (D$2:D$100 = S52), L$2:L$100, "")))</f>
        <v/>
      </c>
      <c r="AC52" s="44" t="str">
        <f t="shared" si="28"/>
        <v>Preventive vs Curative</v>
      </c>
      <c r="AD52" s="51" t="str">
        <f t="shared" si="29"/>
        <v>ME</v>
      </c>
      <c r="AE52" s="51" t="e">
        <f t="shared" si="7"/>
        <v>#VALUE!</v>
      </c>
      <c r="AF52" s="51" t="str">
        <f t="shared" si="8"/>
        <v>NA</v>
      </c>
      <c r="AG52" s="51" t="str">
        <f t="shared" si="9"/>
        <v>NA</v>
      </c>
      <c r="AH52" s="51" t="str" cm="1">
        <f t="array" ref="AH52">IFERROR(_xlfn.TEXTJOIN(", ", TRUE, _xlfn.UNIQUE(_xlfn._xlws.FILTER(K$2:K$100, (A$2:A$100 = R52) * (D$2:D$100 = S52) * ((J$2:J$100 &lt;= 0.05))))), "")</f>
        <v/>
      </c>
      <c r="AI52" s="51" t="str" cm="1">
        <f t="array" ref="AI52">_xlfn.TEXTJOIN(", ", TRUE, _xlfn.UNIQUE(IF((A$2:A$100 = R52) * (D$2:D$100 = S52) * ((J$2:J$100 &lt;= 0.05)), L$2:L$100, "")))</f>
        <v/>
      </c>
      <c r="AJ52" s="51" t="str">
        <f t="shared" si="14"/>
        <v>ME</v>
      </c>
      <c r="AM52" s="44"/>
      <c r="AN52" s="46"/>
      <c r="BC52" s="6" t="str" cm="1">
        <f t="array" ref="BC52">INDEX($BB$1:$BB$100,INT((ROW(A52)-1)/3)+1)</f>
        <v>Public Health - Impact</v>
      </c>
      <c r="BD52" s="6" t="str" cm="1">
        <f t="array" ref="BD52">INDEX({"OR","RRR","ME"},MOD(ROW(AJ52)-1,3)+1)</f>
        <v>OR</v>
      </c>
      <c r="BF52" s="1" cm="1">
        <f t="array" ref="BF52">INDEX($BB$1:$BB$100,INT((ROW(A52)-1)/2)+1)</f>
        <v>0</v>
      </c>
      <c r="BG52" s="6" t="str" cm="1">
        <f t="array" ref="BG52">INDEX({"OR / RRR";"ME"}, MOD(ROW(AJ52)-1, 2)+1)</f>
        <v>ME</v>
      </c>
    </row>
    <row r="53" spans="1:59" ht="45">
      <c r="A53" s="134" t="s">
        <v>988</v>
      </c>
      <c r="B53" s="110" t="s">
        <v>885</v>
      </c>
      <c r="C53" s="101" t="s">
        <v>989</v>
      </c>
      <c r="D53" s="93" t="s">
        <v>894</v>
      </c>
      <c r="E53" s="95">
        <v>2.8000000000000001E-2</v>
      </c>
      <c r="F53" s="95">
        <f t="shared" si="40"/>
        <v>-1.7079999999999994E-2</v>
      </c>
      <c r="G53" s="95">
        <f t="shared" si="41"/>
        <v>7.3079999999999992E-2</v>
      </c>
      <c r="H53" s="95">
        <v>2.3E-2</v>
      </c>
      <c r="I53" s="95"/>
      <c r="J53" s="96" t="s">
        <v>886</v>
      </c>
      <c r="K53" s="96" t="s">
        <v>565</v>
      </c>
      <c r="L53" s="92" t="s">
        <v>888</v>
      </c>
      <c r="R53" s="44" t="str">
        <f t="shared" si="26"/>
        <v>Public Health - Impact</v>
      </c>
      <c r="S53" s="51" t="str">
        <f t="shared" si="27"/>
        <v>OR</v>
      </c>
      <c r="T53" s="51">
        <f t="shared" si="4"/>
        <v>3.07</v>
      </c>
      <c r="U53" s="199">
        <f t="shared" si="5"/>
        <v>3.0718000000000001</v>
      </c>
      <c r="V53" s="199">
        <f t="shared" si="6"/>
        <v>3.0718000000000001</v>
      </c>
      <c r="W53" s="51" t="str" cm="1">
        <f t="array" ref="W53">_xlfn.TEXTJOIN(", ", TRUE, _xlfn.UNIQUE(_xlfn._xlws.FILTER(K$2:K$100, (A$2:A$100 = R53) * (D$2:D$100 = S53))))</f>
        <v>France (SMR)</v>
      </c>
      <c r="X53" s="51" t="str" cm="1">
        <f t="array" ref="X53">_xlfn.TEXTJOIN(", ", TRUE, _xlfn.UNIQUE(IF((A$2:A$100 = R53) * (D$2:D$100 = S53), L$2:L$100, "")))</f>
        <v>(Kergall et al., 2021)</v>
      </c>
      <c r="AC53" s="44" t="str">
        <f t="shared" si="28"/>
        <v>Public Health - Impact</v>
      </c>
      <c r="AD53" s="51" t="str">
        <f t="shared" si="29"/>
        <v>OR</v>
      </c>
      <c r="AE53" s="51" t="e">
        <f t="shared" si="7"/>
        <v>#VALUE!</v>
      </c>
      <c r="AF53" s="51" t="str">
        <f t="shared" si="8"/>
        <v>NA</v>
      </c>
      <c r="AG53" s="51" t="str">
        <f t="shared" si="9"/>
        <v>NA</v>
      </c>
      <c r="AH53" s="51" t="str" cm="1">
        <f t="array" ref="AH53">IFERROR(_xlfn.TEXTJOIN(", ", TRUE, _xlfn.UNIQUE(_xlfn._xlws.FILTER(K$2:K$100, (A$2:A$100 = R53) * (D$2:D$100 = S53) * ((J$2:J$100 &lt;= 0.05))))), "")</f>
        <v/>
      </c>
      <c r="AI53" s="51" t="str" cm="1">
        <f t="array" ref="AI53">_xlfn.TEXTJOIN(", ", TRUE, _xlfn.UNIQUE(IF((A$2:A$100 = R53) * (D$2:D$100 = S53) * ((J$2:J$100 &lt;= 0.05)), L$2:L$100, "")))</f>
        <v/>
      </c>
      <c r="AJ53" s="51" t="str">
        <f t="shared" si="14"/>
        <v>OR / RRR</v>
      </c>
      <c r="AM53" s="44"/>
      <c r="AN53" s="46"/>
      <c r="BC53" s="6" t="str" cm="1">
        <f t="array" ref="BC53">INDEX($BB$1:$BB$100,INT((ROW(A53)-1)/3)+1)</f>
        <v>Public Health - Impact</v>
      </c>
      <c r="BD53" s="6" t="str" cm="1">
        <f t="array" ref="BD53">INDEX({"OR","RRR","ME"},MOD(ROW(AJ53)-1,3)+1)</f>
        <v>RRR</v>
      </c>
      <c r="BF53" s="1" cm="1">
        <f t="array" ref="BF53">INDEX($BB$1:$BB$100,INT((ROW(A53)-1)/2)+1)</f>
        <v>0</v>
      </c>
      <c r="BG53" s="6" t="str" cm="1">
        <f t="array" ref="BG53">INDEX({"OR / RRR";"ME"}, MOD(ROW(AJ53)-1, 2)+1)</f>
        <v>OR / RRR</v>
      </c>
    </row>
    <row r="54" spans="1:59" ht="45">
      <c r="A54" s="134" t="s">
        <v>988</v>
      </c>
      <c r="B54" s="110" t="s">
        <v>907</v>
      </c>
      <c r="C54" s="101" t="s">
        <v>989</v>
      </c>
      <c r="D54" s="93" t="s">
        <v>894</v>
      </c>
      <c r="E54" s="95">
        <v>13.68</v>
      </c>
      <c r="F54" s="95">
        <v>-2.0099999999999998</v>
      </c>
      <c r="G54" s="95">
        <v>29.38</v>
      </c>
      <c r="H54" s="95"/>
      <c r="I54" s="95"/>
      <c r="J54" s="96">
        <v>0.86</v>
      </c>
      <c r="K54" s="96" t="s">
        <v>840</v>
      </c>
      <c r="L54" s="92" t="s">
        <v>990</v>
      </c>
      <c r="R54" s="44" t="str">
        <f t="shared" si="26"/>
        <v>Public Health - Impact</v>
      </c>
      <c r="S54" s="51" t="str">
        <f t="shared" si="27"/>
        <v>RRR</v>
      </c>
      <c r="T54" s="51" t="str">
        <f t="shared" si="4"/>
        <v>NO DATA</v>
      </c>
      <c r="U54" s="199">
        <f t="shared" si="5"/>
        <v>0</v>
      </c>
      <c r="V54" s="199">
        <f t="shared" si="6"/>
        <v>0</v>
      </c>
      <c r="W54" s="51" t="e" cm="1" vm="1">
        <f t="array" ref="W54">_xlfn.TEXTJOIN(", ", TRUE, _xlfn.UNIQUE(_xlfn._xlws.FILTER(K$2:K$100, (A$2:A$100 = R54) * (D$2:D$100 = S54))))</f>
        <v>#VALUE!</v>
      </c>
      <c r="X54" s="51" t="str" cm="1">
        <f t="array" ref="X54">_xlfn.TEXTJOIN(", ", TRUE, _xlfn.UNIQUE(IF((A$2:A$100 = R54) * (D$2:D$100 = S54), L$2:L$100, "")))</f>
        <v/>
      </c>
      <c r="AC54" s="44" t="str">
        <f t="shared" si="28"/>
        <v>Public Health - Impact</v>
      </c>
      <c r="AD54" s="51" t="str">
        <f t="shared" si="29"/>
        <v>RRR</v>
      </c>
      <c r="AE54" s="51" t="e">
        <f t="shared" si="7"/>
        <v>#VALUE!</v>
      </c>
      <c r="AF54" s="51" t="str">
        <f t="shared" si="8"/>
        <v>NA</v>
      </c>
      <c r="AG54" s="51" t="str">
        <f t="shared" si="9"/>
        <v>NA</v>
      </c>
      <c r="AH54" s="51" t="str" cm="1">
        <f t="array" ref="AH54">IFERROR(_xlfn.TEXTJOIN(", ", TRUE, _xlfn.UNIQUE(_xlfn._xlws.FILTER(K$2:K$100, (A$2:A$100 = R54) * (D$2:D$100 = S54) * ((J$2:J$100 &lt;= 0.05))))), "")</f>
        <v/>
      </c>
      <c r="AI54" s="51" t="str" cm="1">
        <f t="array" ref="AI54">_xlfn.TEXTJOIN(", ", TRUE, _xlfn.UNIQUE(IF((A$2:A$100 = R54) * (D$2:D$100 = S54) * ((J$2:J$100 &lt;= 0.05)), L$2:L$100, "")))</f>
        <v/>
      </c>
      <c r="AJ54" s="51" t="str">
        <f t="shared" si="14"/>
        <v>OR / RRR</v>
      </c>
      <c r="AM54" s="44"/>
      <c r="AN54" s="46"/>
      <c r="BC54" s="6" t="str" cm="1">
        <f t="array" ref="BC54">INDEX($BB$1:$BB$100,INT((ROW(A54)-1)/3)+1)</f>
        <v>Public Health - Impact</v>
      </c>
      <c r="BD54" s="6" t="str" cm="1">
        <f t="array" ref="BD54">INDEX({"OR","RRR","ME"},MOD(ROW(AJ54)-1,3)+1)</f>
        <v>ME</v>
      </c>
      <c r="BF54" s="1" cm="1">
        <f t="array" ref="BF54">INDEX($BB$1:$BB$100,INT((ROW(A54)-1)/2)+1)</f>
        <v>0</v>
      </c>
      <c r="BG54" s="6" t="str" cm="1">
        <f t="array" ref="BG54">INDEX({"OR / RRR";"ME"}, MOD(ROW(AJ54)-1, 2)+1)</f>
        <v>ME</v>
      </c>
    </row>
    <row r="55" spans="1:59" ht="45">
      <c r="A55" s="134" t="s">
        <v>988</v>
      </c>
      <c r="B55" s="110" t="s">
        <v>885</v>
      </c>
      <c r="C55" s="101" t="s">
        <v>989</v>
      </c>
      <c r="D55" s="93" t="s">
        <v>894</v>
      </c>
      <c r="E55" s="95">
        <v>9.4E-2</v>
      </c>
      <c r="F55" s="95">
        <f t="shared" ref="F55" si="42">E55-1.96*H55</f>
        <v>1.1679999999999996E-2</v>
      </c>
      <c r="G55" s="95">
        <f t="shared" ref="G55" si="43">E55+1.96*H55</f>
        <v>0.17632</v>
      </c>
      <c r="H55" s="95">
        <v>4.2000000000000003E-2</v>
      </c>
      <c r="I55" s="95"/>
      <c r="J55" s="96">
        <v>0.05</v>
      </c>
      <c r="K55" s="96" t="s">
        <v>840</v>
      </c>
      <c r="L55" s="92" t="s">
        <v>888</v>
      </c>
      <c r="R55" s="44" t="str">
        <f t="shared" si="26"/>
        <v>Public Health - Impact</v>
      </c>
      <c r="S55" s="51" t="str">
        <f t="shared" si="27"/>
        <v>ME</v>
      </c>
      <c r="T55" s="51" t="str">
        <f t="shared" si="4"/>
        <v>NO DATA</v>
      </c>
      <c r="U55" s="199">
        <f t="shared" si="5"/>
        <v>0</v>
      </c>
      <c r="V55" s="199">
        <f t="shared" si="6"/>
        <v>0</v>
      </c>
      <c r="W55" s="51" t="e" cm="1" vm="1">
        <f t="array" ref="W55">_xlfn.TEXTJOIN(", ", TRUE, _xlfn.UNIQUE(_xlfn._xlws.FILTER(K$2:K$100, (A$2:A$100 = R55) * (D$2:D$100 = S55))))</f>
        <v>#VALUE!</v>
      </c>
      <c r="X55" s="51" t="str" cm="1">
        <f t="array" ref="X55">_xlfn.TEXTJOIN(", ", TRUE, _xlfn.UNIQUE(IF((A$2:A$100 = R55) * (D$2:D$100 = S55), L$2:L$100, "")))</f>
        <v/>
      </c>
      <c r="AC55" s="44" t="str">
        <f t="shared" si="28"/>
        <v>Public Health - Impact</v>
      </c>
      <c r="AD55" s="51" t="str">
        <f t="shared" si="29"/>
        <v>ME</v>
      </c>
      <c r="AE55" s="51" t="e">
        <f t="shared" si="7"/>
        <v>#VALUE!</v>
      </c>
      <c r="AF55" s="51" t="str">
        <f t="shared" si="8"/>
        <v>NA</v>
      </c>
      <c r="AG55" s="51" t="str">
        <f t="shared" si="9"/>
        <v>NA</v>
      </c>
      <c r="AH55" s="51" t="str" cm="1">
        <f t="array" ref="AH55">IFERROR(_xlfn.TEXTJOIN(", ", TRUE, _xlfn.UNIQUE(_xlfn._xlws.FILTER(K$2:K$100, (A$2:A$100 = R55) * (D$2:D$100 = S55) * ((J$2:J$100 &lt;= 0.05))))), "")</f>
        <v/>
      </c>
      <c r="AI55" s="51" t="str" cm="1">
        <f t="array" ref="AI55">_xlfn.TEXTJOIN(", ", TRUE, _xlfn.UNIQUE(IF((A$2:A$100 = R55) * (D$2:D$100 = S55) * ((J$2:J$100 &lt;= 0.05)), L$2:L$100, "")))</f>
        <v/>
      </c>
      <c r="AJ55" s="51" t="str">
        <f t="shared" si="14"/>
        <v>ME</v>
      </c>
      <c r="BC55" s="6" t="str" cm="1">
        <f t="array" ref="BC55">INDEX($BB$1:$BB$100,INT((ROW(A55)-1)/3)+1)</f>
        <v>Respiratory</v>
      </c>
      <c r="BD55" s="6" t="str" cm="1">
        <f t="array" ref="BD55">INDEX({"OR","RRR","ME"},MOD(ROW(AJ55)-1,3)+1)</f>
        <v>OR</v>
      </c>
      <c r="BF55" s="1" cm="1">
        <f t="array" ref="BF55">INDEX($BB$1:$BB$100,INT((ROW(A55)-1)/2)+1)</f>
        <v>0</v>
      </c>
      <c r="BG55" s="6" t="str" cm="1">
        <f t="array" ref="BG55">INDEX({"OR / RRR";"ME"}, MOD(ROW(AJ55)-1, 2)+1)</f>
        <v>OR / RRR</v>
      </c>
    </row>
    <row r="56" spans="1:59" ht="45">
      <c r="A56" s="134" t="s">
        <v>988</v>
      </c>
      <c r="B56" s="110" t="s">
        <v>907</v>
      </c>
      <c r="C56" s="101" t="s">
        <v>989</v>
      </c>
      <c r="D56" s="93" t="s">
        <v>894</v>
      </c>
      <c r="E56" s="95">
        <v>-4.7</v>
      </c>
      <c r="F56" s="95">
        <v>-31.33</v>
      </c>
      <c r="G56" s="95">
        <v>21.92</v>
      </c>
      <c r="H56" s="95"/>
      <c r="I56" s="95"/>
      <c r="J56" s="96">
        <v>0.72299999999999998</v>
      </c>
      <c r="K56" s="96" t="s">
        <v>631</v>
      </c>
      <c r="L56" s="92" t="s">
        <v>990</v>
      </c>
      <c r="R56" s="44" t="str">
        <f t="shared" si="26"/>
        <v>Respiratory</v>
      </c>
      <c r="S56" s="51" t="str">
        <f t="shared" si="27"/>
        <v>OR</v>
      </c>
      <c r="T56" s="51">
        <f t="shared" si="4"/>
        <v>0.28999999999999998</v>
      </c>
      <c r="U56" s="199">
        <f t="shared" si="5"/>
        <v>0.28799999999999998</v>
      </c>
      <c r="V56" s="199">
        <f t="shared" si="6"/>
        <v>0.28799999999999998</v>
      </c>
      <c r="W56" s="51" t="str" cm="1">
        <f t="array" ref="W56">_xlfn.TEXTJOIN(", ", TRUE, _xlfn.UNIQUE(_xlfn._xlws.FILTER(K$2:K$100, (A$2:A$100 = R56) * (D$2:D$100 = S56))))</f>
        <v>UK</v>
      </c>
      <c r="X56" s="51" t="str" cm="1">
        <f t="array" ref="X56">_xlfn.TEXTJOIN(", ", TRUE, _xlfn.UNIQUE(IF((A$2:A$100 = R56) * (D$2:D$100 = S56), L$2:L$100, "")))</f>
        <v>(H. Dakin, Devlin, Feng, Rice, O’Neill, et al., 2015)</v>
      </c>
      <c r="AC56" s="44" t="str">
        <f t="shared" si="28"/>
        <v>Respiratory</v>
      </c>
      <c r="AD56" s="51" t="str">
        <f t="shared" si="29"/>
        <v>OR</v>
      </c>
      <c r="AE56" s="51">
        <f t="shared" si="7"/>
        <v>0.28999999999999998</v>
      </c>
      <c r="AF56" s="51">
        <f t="shared" si="8"/>
        <v>0.28799999999999998</v>
      </c>
      <c r="AG56" s="51">
        <f t="shared" si="9"/>
        <v>0.28799999999999998</v>
      </c>
      <c r="AH56" s="51" t="str" cm="1">
        <f t="array" ref="AH56">IFERROR(_xlfn.TEXTJOIN(", ", TRUE, _xlfn.UNIQUE(_xlfn._xlws.FILTER(K$2:K$100, (A$2:A$100 = R56) * (D$2:D$100 = S56) * ((J$2:J$100 &lt;= 0.05))))), "")</f>
        <v>UK</v>
      </c>
      <c r="AI56" s="51" t="str" cm="1">
        <f t="array" ref="AI56">_xlfn.TEXTJOIN(", ", TRUE, _xlfn.UNIQUE(IF((A$2:A$100 = R56) * (D$2:D$100 = S56) * ((J$2:J$100 &lt;= 0.05)), L$2:L$100, "")))</f>
        <v>(H. Dakin, Devlin, Feng, Rice, O’Neill, et al., 2015)</v>
      </c>
      <c r="AJ56" s="51" t="str">
        <f t="shared" si="14"/>
        <v>OR / RRR</v>
      </c>
      <c r="BC56" s="6" t="str" cm="1">
        <f t="array" ref="BC56">INDEX($BB$1:$BB$100,INT((ROW(A56)-1)/3)+1)</f>
        <v>Respiratory</v>
      </c>
      <c r="BD56" s="6" t="str" cm="1">
        <f t="array" ref="BD56">INDEX({"OR","RRR","ME"},MOD(ROW(AJ56)-1,3)+1)</f>
        <v>RRR</v>
      </c>
      <c r="BF56" s="1" cm="1">
        <f t="array" ref="BF56">INDEX($BB$1:$BB$100,INT((ROW(A56)-1)/2)+1)</f>
        <v>0</v>
      </c>
      <c r="BG56" s="6" t="str" cm="1">
        <f t="array" ref="BG56">INDEX({"OR / RRR";"ME"}, MOD(ROW(AJ56)-1, 2)+1)</f>
        <v>ME</v>
      </c>
    </row>
    <row r="57" spans="1:59" ht="90">
      <c r="A57" s="134" t="s">
        <v>988</v>
      </c>
      <c r="B57" s="110" t="s">
        <v>885</v>
      </c>
      <c r="C57" s="101" t="s">
        <v>989</v>
      </c>
      <c r="D57" s="93" t="s">
        <v>879</v>
      </c>
      <c r="E57" s="95">
        <v>9.1189999999999998</v>
      </c>
      <c r="F57" s="95"/>
      <c r="G57" s="95"/>
      <c r="H57" s="95">
        <v>9.2739999999999991</v>
      </c>
      <c r="I57" s="95"/>
      <c r="J57" s="96">
        <v>0.05</v>
      </c>
      <c r="K57" s="96" t="s">
        <v>887</v>
      </c>
      <c r="L57" s="92" t="s">
        <v>888</v>
      </c>
      <c r="R57" s="44" t="str">
        <f t="shared" si="26"/>
        <v>Respiratory</v>
      </c>
      <c r="S57" s="51" t="str">
        <f t="shared" si="27"/>
        <v>RRR</v>
      </c>
      <c r="T57" s="51" t="str">
        <f t="shared" si="4"/>
        <v>NO DATA</v>
      </c>
      <c r="U57" s="199">
        <f t="shared" si="5"/>
        <v>0</v>
      </c>
      <c r="V57" s="199">
        <f t="shared" si="6"/>
        <v>0</v>
      </c>
      <c r="W57" s="51" t="e" cm="1" vm="1">
        <f t="array" ref="W57">_xlfn.TEXTJOIN(", ", TRUE, _xlfn.UNIQUE(_xlfn._xlws.FILTER(K$2:K$100, (A$2:A$100 = R57) * (D$2:D$100 = S57))))</f>
        <v>#VALUE!</v>
      </c>
      <c r="X57" s="51" t="str" cm="1">
        <f t="array" ref="X57">_xlfn.TEXTJOIN(", ", TRUE, _xlfn.UNIQUE(IF((A$2:A$100 = R57) * (D$2:D$100 = S57), L$2:L$100, "")))</f>
        <v/>
      </c>
      <c r="AC57" s="44" t="str">
        <f t="shared" si="28"/>
        <v>Respiratory</v>
      </c>
      <c r="AD57" s="51" t="str">
        <f t="shared" si="29"/>
        <v>RRR</v>
      </c>
      <c r="AE57" s="51" t="e">
        <f t="shared" si="7"/>
        <v>#VALUE!</v>
      </c>
      <c r="AF57" s="51" t="str">
        <f t="shared" si="8"/>
        <v>NA</v>
      </c>
      <c r="AG57" s="51" t="str">
        <f t="shared" si="9"/>
        <v>NA</v>
      </c>
      <c r="AH57" s="51" t="str" cm="1">
        <f t="array" ref="AH57">IFERROR(_xlfn.TEXTJOIN(", ", TRUE, _xlfn.UNIQUE(_xlfn._xlws.FILTER(K$2:K$100, (A$2:A$100 = R57) * (D$2:D$100 = S57) * ((J$2:J$100 &lt;= 0.05))))), "")</f>
        <v/>
      </c>
      <c r="AI57" s="51" t="str" cm="1">
        <f t="array" ref="AI57">_xlfn.TEXTJOIN(", ", TRUE, _xlfn.UNIQUE(IF((A$2:A$100 = R57) * (D$2:D$100 = S57) * ((J$2:J$100 &lt;= 0.05)), L$2:L$100, "")))</f>
        <v/>
      </c>
      <c r="AJ57" s="51" t="str">
        <f t="shared" si="14"/>
        <v>OR / RRR</v>
      </c>
      <c r="BC57" s="6" t="str" cm="1">
        <f t="array" ref="BC57">INDEX($BB$1:$BB$100,INT((ROW(A57)-1)/3)+1)</f>
        <v>Respiratory</v>
      </c>
      <c r="BD57" s="6" t="str" cm="1">
        <f t="array" ref="BD57">INDEX({"OR","RRR","ME"},MOD(ROW(AJ57)-1,3)+1)</f>
        <v>ME</v>
      </c>
    </row>
    <row r="58" spans="1:59">
      <c r="A58" s="134"/>
      <c r="B58" s="110"/>
      <c r="C58" s="101"/>
      <c r="D58" s="93"/>
      <c r="E58" s="95"/>
      <c r="F58" s="95"/>
      <c r="G58" s="95"/>
      <c r="H58" s="95"/>
      <c r="I58" s="95"/>
      <c r="J58" s="100"/>
      <c r="K58" s="100"/>
      <c r="L58" s="100"/>
      <c r="R58" s="44" t="str">
        <f t="shared" si="26"/>
        <v>Respiratory</v>
      </c>
      <c r="S58" s="51" t="str">
        <f t="shared" si="27"/>
        <v>ME</v>
      </c>
      <c r="T58" s="51" t="str">
        <f t="shared" si="4"/>
        <v>NO DATA</v>
      </c>
      <c r="U58" s="199">
        <f t="shared" si="5"/>
        <v>0</v>
      </c>
      <c r="V58" s="199">
        <f t="shared" si="6"/>
        <v>0</v>
      </c>
      <c r="W58" s="51" t="e" cm="1" vm="1">
        <f t="array" ref="W58">_xlfn.TEXTJOIN(", ", TRUE, _xlfn.UNIQUE(_xlfn._xlws.FILTER(K$2:K$100, (A$2:A$100 = R58) * (D$2:D$100 = S58))))</f>
        <v>#VALUE!</v>
      </c>
      <c r="X58" s="51" t="str" cm="1">
        <f t="array" ref="X58">_xlfn.TEXTJOIN(", ", TRUE, _xlfn.UNIQUE(IF((A$2:A$100 = R58) * (D$2:D$100 = S58), L$2:L$100, "")))</f>
        <v/>
      </c>
      <c r="AC58" s="44" t="str">
        <f t="shared" si="28"/>
        <v>Respiratory</v>
      </c>
      <c r="AD58" s="51" t="str">
        <f t="shared" si="29"/>
        <v>ME</v>
      </c>
      <c r="AE58" s="51" t="e">
        <f t="shared" si="7"/>
        <v>#VALUE!</v>
      </c>
      <c r="AF58" s="51" t="str">
        <f t="shared" si="8"/>
        <v>NA</v>
      </c>
      <c r="AG58" s="51" t="str">
        <f t="shared" si="9"/>
        <v>NA</v>
      </c>
      <c r="AH58" s="51" t="str" cm="1">
        <f t="array" ref="AH58">IFERROR(_xlfn.TEXTJOIN(", ", TRUE, _xlfn.UNIQUE(_xlfn._xlws.FILTER(K$2:K$100, (A$2:A$100 = R58) * (D$2:D$100 = S58) * ((J$2:J$100 &lt;= 0.05))))), "")</f>
        <v/>
      </c>
      <c r="AI58" s="51" t="str" cm="1">
        <f t="array" ref="AI58">_xlfn.TEXTJOIN(", ", TRUE, _xlfn.UNIQUE(IF((A$2:A$100 = R58) * (D$2:D$100 = S58) * ((J$2:J$100 &lt;= 0.05)), L$2:L$100, "")))</f>
        <v/>
      </c>
      <c r="AJ58" s="51" t="str">
        <f t="shared" si="14"/>
        <v>ME</v>
      </c>
      <c r="BC58" s="6" t="str" cm="1">
        <f t="array" ref="BC58">INDEX($BB$1:$BB$100,INT((ROW(A58)-1)/3)+1)</f>
        <v>Special Demographics</v>
      </c>
      <c r="BD58" s="6" t="str" cm="1">
        <f t="array" ref="BD58">INDEX({"OR","RRR","ME"},MOD(ROW(AJ58)-1,3)+1)</f>
        <v>OR</v>
      </c>
    </row>
    <row r="59" spans="1:59" ht="90">
      <c r="A59" s="134" t="s">
        <v>988</v>
      </c>
      <c r="B59" s="110" t="s">
        <v>878</v>
      </c>
      <c r="C59" s="101" t="s">
        <v>989</v>
      </c>
      <c r="D59" s="93" t="s">
        <v>879</v>
      </c>
      <c r="E59" s="95">
        <v>0.63</v>
      </c>
      <c r="F59" s="95">
        <v>0.14399999999999999</v>
      </c>
      <c r="G59" s="95">
        <v>2.7589999999999999</v>
      </c>
      <c r="H59" s="95"/>
      <c r="I59" s="95"/>
      <c r="J59" s="96" t="s">
        <v>886</v>
      </c>
      <c r="K59" s="96" t="s">
        <v>840</v>
      </c>
      <c r="L59" s="92" t="s">
        <v>889</v>
      </c>
      <c r="R59" s="44" t="str">
        <f t="shared" si="26"/>
        <v>Special Demographics</v>
      </c>
      <c r="S59" s="51" t="str">
        <f t="shared" si="27"/>
        <v>OR</v>
      </c>
      <c r="T59" s="51">
        <f t="shared" si="4"/>
        <v>4.05</v>
      </c>
      <c r="U59" s="199">
        <f t="shared" si="5"/>
        <v>4.0510000000000002</v>
      </c>
      <c r="V59" s="199">
        <f t="shared" si="6"/>
        <v>4.0510000000000002</v>
      </c>
      <c r="W59" s="51" t="str" cm="1">
        <f t="array" ref="W59">_xlfn.TEXTJOIN(", ", TRUE, _xlfn.UNIQUE(_xlfn._xlws.FILTER(K$2:K$100, (A$2:A$100 = R59) * (D$2:D$100 = S59))))</f>
        <v>CANADA-(INESSS), CANADA-(CADTH) Scotland, UK, France</v>
      </c>
      <c r="X59" s="51" t="str" cm="1">
        <f t="array" ref="X59">_xlfn.TEXTJOIN(", ", TRUE, _xlfn.UNIQUE(IF((A$2:A$100 = R59) * (D$2:D$100 = S59), L$2:L$100, "")))</f>
        <v>(Mills, 2023)</v>
      </c>
      <c r="AC59" s="44" t="str">
        <f t="shared" si="28"/>
        <v>Special Demographics</v>
      </c>
      <c r="AD59" s="51" t="str">
        <f t="shared" si="29"/>
        <v>OR</v>
      </c>
      <c r="AE59" s="51" t="e">
        <f t="shared" si="7"/>
        <v>#VALUE!</v>
      </c>
      <c r="AF59" s="51" t="str">
        <f t="shared" si="8"/>
        <v>NA</v>
      </c>
      <c r="AG59" s="51" t="str">
        <f t="shared" si="9"/>
        <v>NA</v>
      </c>
      <c r="AH59" s="51" t="str" cm="1">
        <f t="array" ref="AH59">IFERROR(_xlfn.TEXTJOIN(", ", TRUE, _xlfn.UNIQUE(_xlfn._xlws.FILTER(K$2:K$100, (A$2:A$100 = R59) * (D$2:D$100 = S59) * ((J$2:J$100 &lt;= 0.05))))), "")</f>
        <v/>
      </c>
      <c r="AI59" s="51" t="str" cm="1">
        <f t="array" ref="AI59">_xlfn.TEXTJOIN(", ", TRUE, _xlfn.UNIQUE(IF((A$2:A$100 = R59) * (D$2:D$100 = S59) * ((J$2:J$100 &lt;= 0.05)), L$2:L$100, "")))</f>
        <v/>
      </c>
      <c r="AJ59" s="51" t="str">
        <f t="shared" si="14"/>
        <v>OR / RRR</v>
      </c>
      <c r="BC59" s="6" t="str" cm="1">
        <f t="array" ref="BC59">INDEX($BB$1:$BB$100,INT((ROW(A59)-1)/3)+1)</f>
        <v>Special Demographics</v>
      </c>
      <c r="BD59" s="6" t="str" cm="1">
        <f t="array" ref="BD59">INDEX({"OR","RRR","ME"},MOD(ROW(AJ59)-1,3)+1)</f>
        <v>RRR</v>
      </c>
    </row>
    <row r="60" spans="1:59" ht="45">
      <c r="A60" s="134" t="s">
        <v>988</v>
      </c>
      <c r="B60" s="110" t="s">
        <v>885</v>
      </c>
      <c r="C60" s="101" t="s">
        <v>989</v>
      </c>
      <c r="D60" s="93" t="s">
        <v>879</v>
      </c>
      <c r="E60" s="95">
        <v>0.51</v>
      </c>
      <c r="F60" s="95">
        <v>0.13</v>
      </c>
      <c r="G60" s="95">
        <v>1.99</v>
      </c>
      <c r="H60" s="95"/>
      <c r="I60" s="95"/>
      <c r="J60" s="96">
        <v>0.33700000000000002</v>
      </c>
      <c r="K60" s="96" t="s">
        <v>216</v>
      </c>
      <c r="L60" s="92" t="s">
        <v>991</v>
      </c>
      <c r="R60" s="44" t="str">
        <f t="shared" si="26"/>
        <v>Special Demographics</v>
      </c>
      <c r="S60" s="51" t="str">
        <f t="shared" si="27"/>
        <v>RRR</v>
      </c>
      <c r="T60" s="51" t="str">
        <f t="shared" si="4"/>
        <v>NO DATA</v>
      </c>
      <c r="U60" s="199">
        <f t="shared" si="5"/>
        <v>0</v>
      </c>
      <c r="V60" s="199">
        <f t="shared" si="6"/>
        <v>0</v>
      </c>
      <c r="W60" s="51" t="e" cm="1" vm="1">
        <f t="array" ref="W60">_xlfn.TEXTJOIN(", ", TRUE, _xlfn.UNIQUE(_xlfn._xlws.FILTER(K$2:K$100, (A$2:A$100 = R60) * (D$2:D$100 = S60))))</f>
        <v>#VALUE!</v>
      </c>
      <c r="X60" s="51" t="str" cm="1">
        <f t="array" ref="X60">_xlfn.TEXTJOIN(", ", TRUE, _xlfn.UNIQUE(IF((A$2:A$100 = R60) * (D$2:D$100 = S60), L$2:L$100, "")))</f>
        <v/>
      </c>
      <c r="AC60" s="44" t="str">
        <f t="shared" si="28"/>
        <v>Special Demographics</v>
      </c>
      <c r="AD60" s="51" t="str">
        <f t="shared" si="29"/>
        <v>RRR</v>
      </c>
      <c r="AE60" s="51" t="e">
        <f t="shared" si="7"/>
        <v>#VALUE!</v>
      </c>
      <c r="AF60" s="51" t="str">
        <f t="shared" si="8"/>
        <v>NA</v>
      </c>
      <c r="AG60" s="51" t="str">
        <f t="shared" si="9"/>
        <v>NA</v>
      </c>
      <c r="AH60" s="51" t="str" cm="1">
        <f t="array" ref="AH60">IFERROR(_xlfn.TEXTJOIN(", ", TRUE, _xlfn.UNIQUE(_xlfn._xlws.FILTER(K$2:K$100, (A$2:A$100 = R60) * (D$2:D$100 = S60) * ((J$2:J$100 &lt;= 0.05))))), "")</f>
        <v/>
      </c>
      <c r="AI60" s="51" t="str" cm="1">
        <f t="array" ref="AI60">_xlfn.TEXTJOIN(", ", TRUE, _xlfn.UNIQUE(IF((A$2:A$100 = R60) * (D$2:D$100 = S60) * ((J$2:J$100 &lt;= 0.05)), L$2:L$100, "")))</f>
        <v/>
      </c>
      <c r="AJ60" s="51" t="str">
        <f t="shared" si="14"/>
        <v>OR / RRR</v>
      </c>
      <c r="BC60" s="6" t="str" cm="1">
        <f t="array" ref="BC60">INDEX($BB$1:$BB$100,INT((ROW(A60)-1)/3)+1)</f>
        <v>Special Demographics</v>
      </c>
      <c r="BD60" s="6" t="str" cm="1">
        <f t="array" ref="BD60">INDEX({"OR","RRR","ME"},MOD(ROW(AJ60)-1,3)+1)</f>
        <v>ME</v>
      </c>
    </row>
    <row r="61" spans="1:59" ht="45">
      <c r="A61" s="134" t="s">
        <v>988</v>
      </c>
      <c r="B61" s="110" t="s">
        <v>878</v>
      </c>
      <c r="C61" s="101" t="s">
        <v>989</v>
      </c>
      <c r="D61" s="93" t="s">
        <v>894</v>
      </c>
      <c r="E61" s="95">
        <v>0.28999999999999998</v>
      </c>
      <c r="F61" s="95">
        <f>E61-1.96*H61</f>
        <v>0.14887999999999998</v>
      </c>
      <c r="G61" s="95">
        <f>E61+1.96*H61</f>
        <v>0.43111999999999995</v>
      </c>
      <c r="H61" s="95">
        <v>7.1999999999999995E-2</v>
      </c>
      <c r="I61" s="95"/>
      <c r="J61" s="96">
        <v>0.01</v>
      </c>
      <c r="K61" s="96" t="s">
        <v>122</v>
      </c>
      <c r="L61" s="92" t="s">
        <v>893</v>
      </c>
      <c r="R61" s="44" t="str">
        <f t="shared" si="26"/>
        <v>Special Demographics</v>
      </c>
      <c r="S61" s="51" t="str">
        <f t="shared" si="27"/>
        <v>ME</v>
      </c>
      <c r="T61" s="51" t="str">
        <f t="shared" si="4"/>
        <v>NO DATA</v>
      </c>
      <c r="U61" s="199">
        <f t="shared" si="5"/>
        <v>0</v>
      </c>
      <c r="V61" s="199">
        <f t="shared" si="6"/>
        <v>0</v>
      </c>
      <c r="W61" s="51" t="e" cm="1" vm="1">
        <f t="array" ref="W61">_xlfn.TEXTJOIN(", ", TRUE, _xlfn.UNIQUE(_xlfn._xlws.FILTER(K$2:K$100, (A$2:A$100 = R61) * (D$2:D$100 = S61))))</f>
        <v>#VALUE!</v>
      </c>
      <c r="X61" s="51" t="str" cm="1">
        <f t="array" ref="X61">_xlfn.TEXTJOIN(", ", TRUE, _xlfn.UNIQUE(IF((A$2:A$100 = R61) * (D$2:D$100 = S61), L$2:L$100, "")))</f>
        <v/>
      </c>
      <c r="AC61" s="44" t="str">
        <f t="shared" si="28"/>
        <v>Special Demographics</v>
      </c>
      <c r="AD61" s="51" t="str">
        <f t="shared" si="29"/>
        <v>ME</v>
      </c>
      <c r="AE61" s="51" t="e">
        <f t="shared" si="7"/>
        <v>#VALUE!</v>
      </c>
      <c r="AF61" s="51" t="str">
        <f t="shared" si="8"/>
        <v>NA</v>
      </c>
      <c r="AG61" s="51" t="str">
        <f t="shared" si="9"/>
        <v>NA</v>
      </c>
      <c r="AH61" s="51" t="str" cm="1">
        <f t="array" ref="AH61">IFERROR(_xlfn.TEXTJOIN(", ", TRUE, _xlfn.UNIQUE(_xlfn._xlws.FILTER(K$2:K$100, (A$2:A$100 = R61) * (D$2:D$100 = S61) * ((J$2:J$100 &lt;= 0.05))))), "")</f>
        <v/>
      </c>
      <c r="AI61" s="51" t="str" cm="1">
        <f t="array" ref="AI61">_xlfn.TEXTJOIN(", ", TRUE, _xlfn.UNIQUE(IF((A$2:A$100 = R61) * (D$2:D$100 = S61) * ((J$2:J$100 &lt;= 0.05)), L$2:L$100, "")))</f>
        <v/>
      </c>
      <c r="AJ61" s="51" t="str">
        <f t="shared" si="14"/>
        <v>ME</v>
      </c>
      <c r="BC61" s="6" t="str" cm="1">
        <f t="array" ref="BC61">INDEX($BB$1:$BB$100,INT((ROW(A61)-1)/3)+1)</f>
        <v>Symptomatic vs Curative</v>
      </c>
      <c r="BD61" s="6" t="str" cm="1">
        <f t="array" ref="BD61">INDEX({"OR","RRR","ME"},MOD(ROW(AJ61)-1,3)+1)</f>
        <v>OR</v>
      </c>
    </row>
    <row r="62" spans="1:59" ht="45">
      <c r="A62" s="134" t="s">
        <v>988</v>
      </c>
      <c r="B62" s="110" t="s">
        <v>878</v>
      </c>
      <c r="C62" s="101" t="s">
        <v>989</v>
      </c>
      <c r="D62" s="93" t="s">
        <v>894</v>
      </c>
      <c r="E62" s="95">
        <v>0.28999999999999998</v>
      </c>
      <c r="F62" s="95">
        <f>E62-1.96*H62</f>
        <v>0.14887999999999998</v>
      </c>
      <c r="G62" s="95">
        <f>E62+1.96*H62</f>
        <v>0.43111999999999995</v>
      </c>
      <c r="H62" s="95">
        <v>7.1999999999999995E-2</v>
      </c>
      <c r="I62" s="95"/>
      <c r="J62" s="96">
        <v>0.01</v>
      </c>
      <c r="K62" s="96" t="s">
        <v>548</v>
      </c>
      <c r="L62" s="92" t="s">
        <v>893</v>
      </c>
      <c r="R62" s="44" t="str">
        <f t="shared" si="26"/>
        <v>Symptomatic vs Curative</v>
      </c>
      <c r="S62" s="51" t="str">
        <f t="shared" si="27"/>
        <v>OR</v>
      </c>
      <c r="T62" s="51">
        <f t="shared" si="4"/>
        <v>0.05</v>
      </c>
      <c r="U62" s="199">
        <f t="shared" si="5"/>
        <v>4.6399999999999997E-2</v>
      </c>
      <c r="V62" s="199">
        <f t="shared" si="6"/>
        <v>4.6399999999999997E-2</v>
      </c>
      <c r="W62" s="51" t="str" cm="1">
        <f t="array" ref="W62">_xlfn.TEXTJOIN(", ", TRUE, _xlfn.UNIQUE(_xlfn._xlws.FILTER(K$2:K$100, (A$2:A$100 = R62) * (D$2:D$100 = S62))))</f>
        <v>France (SMR)</v>
      </c>
      <c r="X62" s="51" t="str" cm="1">
        <f t="array" ref="X62">_xlfn.TEXTJOIN(", ", TRUE, _xlfn.UNIQUE(IF((A$2:A$100 = R62) * (D$2:D$100 = S62), L$2:L$100, "")))</f>
        <v>(Kergall et al., 2021)</v>
      </c>
      <c r="AC62" s="44" t="str">
        <f t="shared" si="28"/>
        <v>Symptomatic vs Curative</v>
      </c>
      <c r="AD62" s="51" t="str">
        <f t="shared" si="29"/>
        <v>OR</v>
      </c>
      <c r="AE62" s="51">
        <f t="shared" si="7"/>
        <v>0.05</v>
      </c>
      <c r="AF62" s="51">
        <f t="shared" si="8"/>
        <v>4.6399999999999997E-2</v>
      </c>
      <c r="AG62" s="51">
        <f t="shared" si="9"/>
        <v>4.6399999999999997E-2</v>
      </c>
      <c r="AH62" s="51" t="str" cm="1">
        <f t="array" ref="AH62">IFERROR(_xlfn.TEXTJOIN(", ", TRUE, _xlfn.UNIQUE(_xlfn._xlws.FILTER(K$2:K$100, (A$2:A$100 = R62) * (D$2:D$100 = S62) * ((J$2:J$100 &lt;= 0.05))))), "")</f>
        <v>France (SMR)</v>
      </c>
      <c r="AI62" s="51" t="str" cm="1">
        <f t="array" ref="AI62">_xlfn.TEXTJOIN(", ", TRUE, _xlfn.UNIQUE(IF((A$2:A$100 = R62) * (D$2:D$100 = S62) * ((J$2:J$100 &lt;= 0.05)), L$2:L$100, "")))</f>
        <v>(Kergall et al., 2021)</v>
      </c>
      <c r="AJ62" s="51" t="str">
        <f t="shared" si="14"/>
        <v>OR / RRR</v>
      </c>
      <c r="BC62" s="6" t="str" cm="1">
        <f t="array" ref="BC62">INDEX($BB$1:$BB$100,INT((ROW(A62)-1)/3)+1)</f>
        <v>Symptomatic vs Curative</v>
      </c>
      <c r="BD62" s="6" t="str" cm="1">
        <f t="array" ref="BD62">INDEX({"OR","RRR","ME"},MOD(ROW(AJ62)-1,3)+1)</f>
        <v>RRR</v>
      </c>
    </row>
    <row r="63" spans="1:59">
      <c r="A63" s="134"/>
      <c r="B63" s="110"/>
      <c r="C63" s="101"/>
      <c r="D63" s="93"/>
      <c r="E63" s="95"/>
      <c r="F63" s="95"/>
      <c r="G63" s="95"/>
      <c r="H63" s="95"/>
      <c r="I63" s="95"/>
      <c r="J63" s="100"/>
      <c r="K63" s="96"/>
      <c r="L63" s="92"/>
      <c r="R63" s="44" t="str">
        <f t="shared" si="26"/>
        <v>Symptomatic vs Curative</v>
      </c>
      <c r="S63" s="51" t="str">
        <f t="shared" si="27"/>
        <v>RRR</v>
      </c>
      <c r="T63" s="51" t="str">
        <f t="shared" si="4"/>
        <v>NO DATA</v>
      </c>
      <c r="U63" s="199">
        <f t="shared" si="5"/>
        <v>0</v>
      </c>
      <c r="V63" s="199">
        <f t="shared" si="6"/>
        <v>0</v>
      </c>
      <c r="W63" s="51" t="e" cm="1" vm="1">
        <f t="array" ref="W63">_xlfn.TEXTJOIN(", ", TRUE, _xlfn.UNIQUE(_xlfn._xlws.FILTER(K$2:K$100, (A$2:A$100 = R63) * (D$2:D$100 = S63))))</f>
        <v>#VALUE!</v>
      </c>
      <c r="X63" s="51" t="str" cm="1">
        <f t="array" ref="X63">_xlfn.TEXTJOIN(", ", TRUE, _xlfn.UNIQUE(IF((A$2:A$100 = R63) * (D$2:D$100 = S63), L$2:L$100, "")))</f>
        <v/>
      </c>
      <c r="AC63" s="44" t="str">
        <f t="shared" si="28"/>
        <v>Symptomatic vs Curative</v>
      </c>
      <c r="AD63" s="51" t="str">
        <f t="shared" si="29"/>
        <v>RRR</v>
      </c>
      <c r="AE63" s="51" t="e">
        <f t="shared" si="7"/>
        <v>#VALUE!</v>
      </c>
      <c r="AF63" s="51" t="str">
        <f t="shared" si="8"/>
        <v>NA</v>
      </c>
      <c r="AG63" s="51" t="str">
        <f t="shared" si="9"/>
        <v>NA</v>
      </c>
      <c r="AH63" s="51" t="str" cm="1">
        <f t="array" ref="AH63">IFERROR(_xlfn.TEXTJOIN(", ", TRUE, _xlfn.UNIQUE(_xlfn._xlws.FILTER(K$2:K$100, (A$2:A$100 = R63) * (D$2:D$100 = S63) * ((J$2:J$100 &lt;= 0.05))))), "")</f>
        <v/>
      </c>
      <c r="AI63" s="51" t="str" cm="1">
        <f t="array" ref="AI63">_xlfn.TEXTJOIN(", ", TRUE, _xlfn.UNIQUE(IF((A$2:A$100 = R63) * (D$2:D$100 = S63) * ((J$2:J$100 &lt;= 0.05)), L$2:L$100, "")))</f>
        <v/>
      </c>
      <c r="AJ63" s="51" t="str">
        <f t="shared" si="14"/>
        <v>OR / RRR</v>
      </c>
      <c r="BC63" s="6" t="str" cm="1">
        <f t="array" ref="BC63">INDEX($BB$1:$BB$100,INT((ROW(A63)-1)/3)+1)</f>
        <v>Symptomatic vs Curative</v>
      </c>
      <c r="BD63" s="6" t="str" cm="1">
        <f t="array" ref="BD63">INDEX({"OR","RRR","ME"},MOD(ROW(AJ63)-1,3)+1)</f>
        <v>ME</v>
      </c>
    </row>
    <row r="64" spans="1:59">
      <c r="A64" s="134"/>
      <c r="B64" s="110"/>
      <c r="C64" s="101"/>
      <c r="D64" s="93"/>
      <c r="E64" s="95"/>
      <c r="F64" s="95"/>
      <c r="G64" s="95"/>
      <c r="H64" s="95"/>
      <c r="I64" s="95"/>
      <c r="J64" s="100"/>
      <c r="K64" s="96"/>
      <c r="L64" s="92"/>
      <c r="R64" s="44" t="str">
        <f t="shared" si="26"/>
        <v>Symptomatic vs Curative</v>
      </c>
      <c r="S64" s="51" t="str">
        <f t="shared" si="27"/>
        <v>ME</v>
      </c>
      <c r="T64" s="51" t="str">
        <f t="shared" si="4"/>
        <v>NO DATA</v>
      </c>
      <c r="U64" s="199">
        <f t="shared" si="5"/>
        <v>0</v>
      </c>
      <c r="V64" s="199">
        <f t="shared" si="6"/>
        <v>0</v>
      </c>
      <c r="W64" s="51" t="e" cm="1" vm="1">
        <f t="array" ref="W64">_xlfn.TEXTJOIN(", ", TRUE, _xlfn.UNIQUE(_xlfn._xlws.FILTER(K$2:K$100, (A$2:A$100 = R64) * (D$2:D$100 = S64))))</f>
        <v>#VALUE!</v>
      </c>
      <c r="X64" s="51" t="str" cm="1">
        <f t="array" ref="X64">_xlfn.TEXTJOIN(", ", TRUE, _xlfn.UNIQUE(IF((A$2:A$100 = R64) * (D$2:D$100 = S64), L$2:L$100, "")))</f>
        <v/>
      </c>
      <c r="AC64" s="44" t="str">
        <f t="shared" si="28"/>
        <v>Symptomatic vs Curative</v>
      </c>
      <c r="AD64" s="51" t="str">
        <f t="shared" si="29"/>
        <v>ME</v>
      </c>
      <c r="AE64" s="51" t="e">
        <f t="shared" si="7"/>
        <v>#VALUE!</v>
      </c>
      <c r="AF64" s="51" t="str">
        <f t="shared" si="8"/>
        <v>NA</v>
      </c>
      <c r="AG64" s="51" t="str">
        <f t="shared" si="9"/>
        <v>NA</v>
      </c>
      <c r="AH64" s="51" t="str" cm="1">
        <f t="array" ref="AH64">IFERROR(_xlfn.TEXTJOIN(", ", TRUE, _xlfn.UNIQUE(_xlfn._xlws.FILTER(K$2:K$100, (A$2:A$100 = R64) * (D$2:D$100 = S64) * ((J$2:J$100 &lt;= 0.05))))), "")</f>
        <v/>
      </c>
      <c r="AI64" s="51" t="str" cm="1">
        <f t="array" ref="AI64">_xlfn.TEXTJOIN(", ", TRUE, _xlfn.UNIQUE(IF((A$2:A$100 = R64) * (D$2:D$100 = S64) * ((J$2:J$100 &lt;= 0.05)), L$2:L$100, "")))</f>
        <v/>
      </c>
      <c r="AJ64" s="51" t="str">
        <f t="shared" si="14"/>
        <v>ME</v>
      </c>
      <c r="BC64" s="6" t="str" cm="1">
        <f t="array" ref="BC64">INDEX($BB$1:$BB$100,INT((ROW(A64)-1)/3)+1)</f>
        <v>Ultra Orphan Drug</v>
      </c>
      <c r="BD64" s="6" t="str" cm="1">
        <f t="array" ref="BD64">INDEX({"OR","RRR","ME"},MOD(ROW(AJ64)-1,3)+1)</f>
        <v>OR</v>
      </c>
    </row>
    <row r="65" spans="1:56" ht="45">
      <c r="A65" s="134" t="s">
        <v>988</v>
      </c>
      <c r="B65" s="110" t="s">
        <v>878</v>
      </c>
      <c r="C65" s="101" t="s">
        <v>989</v>
      </c>
      <c r="D65" s="93" t="s">
        <v>894</v>
      </c>
      <c r="E65" s="95">
        <v>2.7E-2</v>
      </c>
      <c r="F65" s="163">
        <f t="shared" ref="F65:F66" si="44">E65-1.96*H65</f>
        <v>-4.3999999999999942E-4</v>
      </c>
      <c r="G65" s="95">
        <f t="shared" ref="G65:G66" si="45">E65+1.96*H65</f>
        <v>5.4440000000000002E-2</v>
      </c>
      <c r="H65" s="95">
        <v>1.4E-2</v>
      </c>
      <c r="I65" s="95"/>
      <c r="J65" s="100">
        <v>0.01</v>
      </c>
      <c r="K65" s="96" t="s">
        <v>365</v>
      </c>
      <c r="L65" s="92" t="s">
        <v>893</v>
      </c>
      <c r="R65" s="44" t="str">
        <f t="shared" si="26"/>
        <v>Ultra Orphan Drug</v>
      </c>
      <c r="S65" s="51" t="str">
        <f t="shared" si="27"/>
        <v>OR</v>
      </c>
      <c r="T65" s="51">
        <f t="shared" si="4"/>
        <v>3.45</v>
      </c>
      <c r="U65" s="199">
        <f t="shared" si="5"/>
        <v>3.4542000000000002</v>
      </c>
      <c r="V65" s="199">
        <f t="shared" si="6"/>
        <v>3.4542000000000002</v>
      </c>
      <c r="W65" s="51" t="str" cm="1">
        <f t="array" ref="W65">_xlfn.TEXTJOIN(", ", TRUE, _xlfn.UNIQUE(_xlfn._xlws.FILTER(K$2:K$100, (A$2:A$100 = R65) * (D$2:D$100 = S65))))</f>
        <v>Wales (UK)</v>
      </c>
      <c r="X65" s="51" t="str" cm="1">
        <f t="array" ref="X65">_xlfn.TEXTJOIN(", ", TRUE, _xlfn.UNIQUE(IF((A$2:A$100 = R65) * (D$2:D$100 = S65), L$2:L$100, "")))</f>
        <v>(Linley &amp; Hughes, 2012)</v>
      </c>
      <c r="AC65" s="44" t="str">
        <f t="shared" si="28"/>
        <v>Ultra Orphan Drug</v>
      </c>
      <c r="AD65" s="51" t="str">
        <f t="shared" si="29"/>
        <v>OR</v>
      </c>
      <c r="AE65" s="51" t="e">
        <f t="shared" si="7"/>
        <v>#VALUE!</v>
      </c>
      <c r="AF65" s="51" t="str">
        <f t="shared" si="8"/>
        <v>NA</v>
      </c>
      <c r="AG65" s="51" t="str">
        <f t="shared" si="9"/>
        <v>NA</v>
      </c>
      <c r="AH65" s="51" t="str" cm="1">
        <f t="array" ref="AH65">IFERROR(_xlfn.TEXTJOIN(", ", TRUE, _xlfn.UNIQUE(_xlfn._xlws.FILTER(K$2:K$100, (A$2:A$100 = R65) * (D$2:D$100 = S65) * ((J$2:J$100 &lt;= 0.05))))), "")</f>
        <v/>
      </c>
      <c r="AI65" s="51" t="str" cm="1">
        <f t="array" ref="AI65">_xlfn.TEXTJOIN(", ", TRUE, _xlfn.UNIQUE(IF((A$2:A$100 = R65) * (D$2:D$100 = S65) * ((J$2:J$100 &lt;= 0.05)), L$2:L$100, "")))</f>
        <v/>
      </c>
      <c r="AJ65" s="51" t="str">
        <f t="shared" si="14"/>
        <v>OR / RRR</v>
      </c>
      <c r="BC65" s="6" t="str" cm="1">
        <f t="array" ref="BC65">INDEX($BB$1:$BB$100,INT((ROW(A65)-1)/3)+1)</f>
        <v>Ultra Orphan Drug</v>
      </c>
      <c r="BD65" s="6" t="str" cm="1">
        <f t="array" ref="BD65">INDEX({"OR","RRR","ME"},MOD(ROW(AJ65)-1,3)+1)</f>
        <v>RRR</v>
      </c>
    </row>
    <row r="66" spans="1:56" ht="45">
      <c r="A66" s="134" t="s">
        <v>988</v>
      </c>
      <c r="B66" s="110" t="s">
        <v>878</v>
      </c>
      <c r="C66" s="101" t="s">
        <v>989</v>
      </c>
      <c r="D66" s="93" t="s">
        <v>894</v>
      </c>
      <c r="E66" s="95">
        <v>0.20899999999999999</v>
      </c>
      <c r="F66" s="95">
        <f t="shared" si="44"/>
        <v>7.3759999999999992E-2</v>
      </c>
      <c r="G66" s="95">
        <f t="shared" si="45"/>
        <v>0.34423999999999999</v>
      </c>
      <c r="H66" s="95">
        <v>6.9000000000000006E-2</v>
      </c>
      <c r="I66" s="95"/>
      <c r="J66" s="96">
        <v>0.01</v>
      </c>
      <c r="K66" s="96" t="s">
        <v>961</v>
      </c>
      <c r="L66" s="92" t="s">
        <v>893</v>
      </c>
      <c r="R66" s="44" t="str">
        <f t="shared" ref="R66:R73" si="46">BC65</f>
        <v>Ultra Orphan Drug</v>
      </c>
      <c r="S66" s="51" t="str">
        <f t="shared" ref="S66:S73" si="47">BD65</f>
        <v>RRR</v>
      </c>
      <c r="T66" s="51" t="str">
        <f t="shared" si="4"/>
        <v>NO DATA</v>
      </c>
      <c r="U66" s="199">
        <f t="shared" si="5"/>
        <v>0</v>
      </c>
      <c r="V66" s="199">
        <f t="shared" si="6"/>
        <v>0</v>
      </c>
      <c r="W66" s="51" t="e" cm="1" vm="1">
        <f t="array" ref="W66">_xlfn.TEXTJOIN(", ", TRUE, _xlfn.UNIQUE(_xlfn._xlws.FILTER(K$2:K$100, (A$2:A$100 = R66) * (D$2:D$100 = S66))))</f>
        <v>#VALUE!</v>
      </c>
      <c r="X66" s="51" t="str" cm="1">
        <f t="array" ref="X66">_xlfn.TEXTJOIN(", ", TRUE, _xlfn.UNIQUE(IF((A$2:A$100 = R66) * (D$2:D$100 = S66), L$2:L$100, "")))</f>
        <v/>
      </c>
      <c r="AC66" s="44" t="str">
        <f t="shared" ref="AC66:AC73" si="48">BC65</f>
        <v>Ultra Orphan Drug</v>
      </c>
      <c r="AD66" s="51" t="str">
        <f t="shared" ref="AD66:AD73" si="49">BD65</f>
        <v>RRR</v>
      </c>
      <c r="AE66" s="51" t="e">
        <f t="shared" si="7"/>
        <v>#VALUE!</v>
      </c>
      <c r="AF66" s="51" t="str">
        <f t="shared" si="8"/>
        <v>NA</v>
      </c>
      <c r="AG66" s="51" t="str">
        <f t="shared" si="9"/>
        <v>NA</v>
      </c>
      <c r="AH66" s="51" t="str" cm="1">
        <f t="array" ref="AH66">IFERROR(_xlfn.TEXTJOIN(", ", TRUE, _xlfn.UNIQUE(_xlfn._xlws.FILTER(K$2:K$100, (A$2:A$100 = R66) * (D$2:D$100 = S66) * ((J$2:J$100 &lt;= 0.05))))), "")</f>
        <v/>
      </c>
      <c r="AI66" s="51" t="str" cm="1">
        <f t="array" ref="AI66">_xlfn.TEXTJOIN(", ", TRUE, _xlfn.UNIQUE(IF((A$2:A$100 = R66) * (D$2:D$100 = S66) * ((J$2:J$100 &lt;= 0.05)), L$2:L$100, "")))</f>
        <v/>
      </c>
      <c r="AJ66" s="51" t="str">
        <f t="shared" si="14"/>
        <v>OR / RRR</v>
      </c>
      <c r="BC66" s="6" t="str" cm="1">
        <f t="array" ref="BC66">INDEX($BB$1:$BB$100,INT((ROW(A66)-1)/3)+1)</f>
        <v>Ultra Orphan Drug</v>
      </c>
      <c r="BD66" s="6" t="str" cm="1">
        <f t="array" ref="BD66">INDEX({"OR","RRR","ME"},MOD(ROW(AJ66)-1,3)+1)</f>
        <v>ME</v>
      </c>
    </row>
    <row r="67" spans="1:56">
      <c r="A67" s="134"/>
      <c r="B67" s="110"/>
      <c r="C67" s="101"/>
      <c r="D67" s="93"/>
      <c r="E67" s="95"/>
      <c r="F67" s="95"/>
      <c r="G67" s="95"/>
      <c r="H67" s="95"/>
      <c r="I67" s="95"/>
      <c r="J67" s="100"/>
      <c r="K67" s="96"/>
      <c r="L67" s="92"/>
      <c r="R67" s="44" t="str">
        <f t="shared" si="46"/>
        <v>Ultra Orphan Drug</v>
      </c>
      <c r="S67" s="51" t="str">
        <f t="shared" si="47"/>
        <v>ME</v>
      </c>
      <c r="T67" s="51" t="str">
        <f t="shared" ref="T67:T73" si="50">IF(U67=V67, IF(U67=0, "NO DATA", ROUND(U67, 2)), ROUND(U67, 2) &amp; "-" &amp; ROUND(V67, 2))</f>
        <v>NO DATA</v>
      </c>
      <c r="U67" s="199">
        <f t="shared" ref="U67:U73" si="51">_xlfn.MINIFS(E:E, A:A, R67, D:D, S67)</f>
        <v>0</v>
      </c>
      <c r="V67" s="199">
        <f t="shared" ref="V67:V73" si="52">_xlfn.MAXIFS(E:E, A:A, R67, D:D, S67)</f>
        <v>0</v>
      </c>
      <c r="W67" s="51" t="e" cm="1" vm="1">
        <f t="array" ref="W67">_xlfn.TEXTJOIN(", ", TRUE, _xlfn.UNIQUE(_xlfn._xlws.FILTER(K$2:K$100, (A$2:A$100 = R67) * (D$2:D$100 = S67))))</f>
        <v>#VALUE!</v>
      </c>
      <c r="X67" s="51" t="str" cm="1">
        <f t="array" ref="X67">_xlfn.TEXTJOIN(", ", TRUE, _xlfn.UNIQUE(IF((A$2:A$100 = R67) * (D$2:D$100 = S67), L$2:L$100, "")))</f>
        <v/>
      </c>
      <c r="AC67" s="44" t="str">
        <f t="shared" si="48"/>
        <v>Ultra Orphan Drug</v>
      </c>
      <c r="AD67" s="51" t="str">
        <f t="shared" si="49"/>
        <v>ME</v>
      </c>
      <c r="AE67" s="51" t="e">
        <f t="shared" ref="AE67:AE73" si="53">IF(AF67=AG67, IF(AF67=0, "NO DATA", ROUND(AF67, 2)), ROUND(AF67, 2) &amp; "-" &amp; ROUND(AG67, 2))</f>
        <v>#VALUE!</v>
      </c>
      <c r="AF67" s="51" t="str">
        <f t="shared" ref="AF67:AF73" si="54">IF(_xlfn.MINIFS(E:E, A:A, R67, D:D, S67, J:J, "&lt;=0,050")=0, "NA", _xlfn.MINIFS(E:E, A:A, R67, D:D, S67, J:J, "&lt;=0,050"))</f>
        <v>NA</v>
      </c>
      <c r="AG67" s="51" t="str">
        <f t="shared" ref="AG67:AG73" si="55">IF(_xlfn.MAXIFS(E:E, A:A, AC67, D:D, AD67, J:J, "&lt;=0,050")=0, "NA", _xlfn.MAXIFS(E:E, A:A, AC67, D:D, AD67, J:J, "&lt;=0,050"))</f>
        <v>NA</v>
      </c>
      <c r="AH67" s="51" t="str" cm="1">
        <f t="array" ref="AH67">IFERROR(_xlfn.TEXTJOIN(", ", TRUE, _xlfn.UNIQUE(_xlfn._xlws.FILTER(K$2:K$100, (A$2:A$100 = R67) * (D$2:D$100 = S67) * ((J$2:J$100 &lt;= 0.05))))), "")</f>
        <v/>
      </c>
      <c r="AI67" s="51" t="str" cm="1">
        <f t="array" ref="AI67">_xlfn.TEXTJOIN(", ", TRUE, _xlfn.UNIQUE(IF((A$2:A$100 = R67) * (D$2:D$100 = S67) * ((J$2:J$100 &lt;= 0.05)), L$2:L$100, "")))</f>
        <v/>
      </c>
      <c r="AJ67" s="51" t="str">
        <f t="shared" si="14"/>
        <v>ME</v>
      </c>
      <c r="BC67" s="6" t="str" cm="1">
        <f t="array" ref="BC67">INDEX($BB$1:$BB$100,INT((ROW(A67)-1)/3)+1)</f>
        <v>Unmet Need</v>
      </c>
      <c r="BD67" s="6" t="str" cm="1">
        <f t="array" ref="BD67">INDEX({"OR","RRR","ME"},MOD(ROW(AJ67)-1,3)+1)</f>
        <v>OR</v>
      </c>
    </row>
    <row r="68" spans="1:56" ht="105">
      <c r="A68" s="134" t="s">
        <v>988</v>
      </c>
      <c r="B68" s="110" t="s">
        <v>878</v>
      </c>
      <c r="C68" s="101" t="s">
        <v>989</v>
      </c>
      <c r="D68" s="93" t="s">
        <v>894</v>
      </c>
      <c r="E68" s="95">
        <v>0.20899999999999999</v>
      </c>
      <c r="F68" s="95">
        <f t="shared" ref="F68:F70" si="56">E68-1.96*H68</f>
        <v>2.0839999999999997E-2</v>
      </c>
      <c r="G68" s="95">
        <f t="shared" ref="G68:G70" si="57">E68+1.96*H68</f>
        <v>0.39715999999999996</v>
      </c>
      <c r="H68" s="95">
        <v>9.6000000000000002E-2</v>
      </c>
      <c r="I68" s="95"/>
      <c r="J68" s="100">
        <v>0.01</v>
      </c>
      <c r="K68" s="96" t="s">
        <v>50</v>
      </c>
      <c r="L68" s="92" t="s">
        <v>893</v>
      </c>
      <c r="R68" s="44" t="str">
        <f t="shared" si="46"/>
        <v>Unmet Need</v>
      </c>
      <c r="S68" s="51" t="str">
        <f t="shared" si="47"/>
        <v>OR</v>
      </c>
      <c r="T68" s="51" t="str">
        <f t="shared" si="50"/>
        <v>0,34-25,55</v>
      </c>
      <c r="U68" s="199">
        <f t="shared" si="51"/>
        <v>0.33700000000000002</v>
      </c>
      <c r="V68" s="199">
        <f t="shared" si="52"/>
        <v>25.552</v>
      </c>
      <c r="W68" s="51" t="str" cm="1">
        <f t="array" ref="W68">_xlfn.TEXTJOIN(", ", TRUE, _xlfn.UNIQUE(_xlfn._xlws.FILTER(K$2:K$100, (A$2:A$100 = R68) * (D$2:D$100 = S68))))</f>
        <v>South Korea, UK, France (SMR), France (ASMR), France, UK, Scotland, Canada</v>
      </c>
      <c r="X68" s="51" t="str" cm="1">
        <f t="array" ref="X68">_xlfn.TEXTJOIN(", ", TRUE, _xlfn.UNIQUE(IF((A$2:A$100 = R68) * (D$2:D$100 = S68), L$2:L$100, "")))</f>
        <v>(Bae et al., 2018), (H. Dakin, Devlin, Feng, Rice, O’Neill, et al., 2015), (Kergall et al., 2021), (Mills, 2023)</v>
      </c>
      <c r="AC68" s="44" t="str">
        <f t="shared" si="48"/>
        <v>Unmet Need</v>
      </c>
      <c r="AD68" s="51" t="str">
        <f t="shared" si="49"/>
        <v>OR</v>
      </c>
      <c r="AE68" s="51">
        <f t="shared" si="53"/>
        <v>25.55</v>
      </c>
      <c r="AF68" s="51">
        <f t="shared" si="54"/>
        <v>25.552</v>
      </c>
      <c r="AG68" s="51">
        <f t="shared" si="55"/>
        <v>25.552</v>
      </c>
      <c r="AH68" s="51" t="str" cm="1">
        <f t="array" ref="AH68">IFERROR(_xlfn.TEXTJOIN(", ", TRUE, _xlfn.UNIQUE(_xlfn._xlws.FILTER(K$2:K$100, (A$2:A$100 = R68) * (D$2:D$100 = S68) * ((J$2:J$100 &lt;= 0.05))))), "")</f>
        <v>South Korea</v>
      </c>
      <c r="AI68" s="51" t="str" cm="1">
        <f t="array" ref="AI68">_xlfn.TEXTJOIN(", ", TRUE, _xlfn.UNIQUE(IF((A$2:A$100 = R68) * (D$2:D$100 = S68) * ((J$2:J$100 &lt;= 0.05)), L$2:L$100, "")))</f>
        <v>(Bae et al., 2018)</v>
      </c>
      <c r="AJ68" s="51" t="str">
        <f t="shared" ref="AJ68:AJ73" si="58">IF(OR(AD68="OR", AD68="RRR"), "OR / RRR", AD68)</f>
        <v>OR / RRR</v>
      </c>
      <c r="BC68" s="6" t="str" cm="1">
        <f t="array" ref="BC68">INDEX($BB$1:$BB$100,INT((ROW(A68)-1)/3)+1)</f>
        <v>Unmet Need</v>
      </c>
      <c r="BD68" s="6" t="str" cm="1">
        <f t="array" ref="BD68">INDEX({"OR","RRR","ME"},MOD(ROW(AJ68)-1,3)+1)</f>
        <v>RRR</v>
      </c>
    </row>
    <row r="69" spans="1:56" ht="150">
      <c r="A69" s="134" t="s">
        <v>988</v>
      </c>
      <c r="B69" s="110" t="s">
        <v>878</v>
      </c>
      <c r="C69" s="101" t="s">
        <v>989</v>
      </c>
      <c r="D69" s="93" t="s">
        <v>894</v>
      </c>
      <c r="E69" s="95">
        <v>7.2999999999999995E-2</v>
      </c>
      <c r="F69" s="95">
        <f t="shared" si="56"/>
        <v>2.9879999999999997E-2</v>
      </c>
      <c r="G69" s="95">
        <f t="shared" si="57"/>
        <v>0.11612</v>
      </c>
      <c r="H69" s="95">
        <v>2.1999999999999999E-2</v>
      </c>
      <c r="I69" s="95"/>
      <c r="J69" s="96">
        <v>0.01</v>
      </c>
      <c r="K69" s="96" t="s">
        <v>86</v>
      </c>
      <c r="L69" s="92" t="s">
        <v>893</v>
      </c>
      <c r="R69" s="44" t="str">
        <f t="shared" si="46"/>
        <v>Unmet Need</v>
      </c>
      <c r="S69" s="51" t="str">
        <f t="shared" si="47"/>
        <v>RRR</v>
      </c>
      <c r="T69" s="51" t="str">
        <f t="shared" si="50"/>
        <v>0,96-1,52</v>
      </c>
      <c r="U69" s="199">
        <f t="shared" si="51"/>
        <v>0.96299999999999997</v>
      </c>
      <c r="V69" s="199">
        <f t="shared" si="52"/>
        <v>1.5174025129350845</v>
      </c>
      <c r="W69" s="51" t="str" cm="1">
        <f t="array" ref="W69">_xlfn.TEXTJOIN(", ", TRUE, _xlfn.UNIQUE(_xlfn._xlws.FILTER(K$2:K$100, (A$2:A$100 = R69) * (D$2:D$100 = S69))))</f>
        <v>UK, Australia, Canada-(CADTH), Canada-(INESSS), England, France-(HAS), Germany, Scotland, Sweden</v>
      </c>
      <c r="X69" s="51" t="str" cm="1">
        <f t="array" ref="X69">_xlfn.TEXTJOIN(", ", TRUE, _xlfn.UNIQUE(IF((A$2:A$100 = R69) * (D$2:D$100 = S69), L$2:L$100, "")))</f>
        <v>(H. A. Dakin et al., 2006), (Kanavos et al., 2023)</v>
      </c>
      <c r="AC69" s="44" t="str">
        <f t="shared" si="48"/>
        <v>Unmet Need</v>
      </c>
      <c r="AD69" s="51" t="str">
        <f t="shared" si="49"/>
        <v>RRR</v>
      </c>
      <c r="AE69" s="51" t="e">
        <f t="shared" si="53"/>
        <v>#VALUE!</v>
      </c>
      <c r="AF69" s="51" t="str">
        <f t="shared" si="54"/>
        <v>NA</v>
      </c>
      <c r="AG69" s="51" t="str">
        <f t="shared" si="55"/>
        <v>NA</v>
      </c>
      <c r="AH69" s="51" t="str" cm="1">
        <f t="array" ref="AH69">IFERROR(_xlfn.TEXTJOIN(", ", TRUE, _xlfn.UNIQUE(_xlfn._xlws.FILTER(K$2:K$100, (A$2:A$100 = R69) * (D$2:D$100 = S69) * ((J$2:J$100 &lt;= 0.05))))), "")</f>
        <v/>
      </c>
      <c r="AI69" s="51" t="str" cm="1">
        <f t="array" ref="AI69">_xlfn.TEXTJOIN(", ", TRUE, _xlfn.UNIQUE(IF((A$2:A$100 = R69) * (D$2:D$100 = S69) * ((J$2:J$100 &lt;= 0.05)), L$2:L$100, "")))</f>
        <v/>
      </c>
      <c r="AJ69" s="51" t="str">
        <f t="shared" si="58"/>
        <v>OR / RRR</v>
      </c>
      <c r="BC69" s="6" t="str" cm="1">
        <f t="array" ref="BC69">INDEX($BB$1:$BB$100,INT((ROW(A69)-1)/3)+1)</f>
        <v>Unmet Need</v>
      </c>
      <c r="BD69" s="6" t="str" cm="1">
        <f t="array" ref="BD69">INDEX({"OR","RRR","ME"},MOD(ROW(AJ69)-1,3)+1)</f>
        <v>ME</v>
      </c>
    </row>
    <row r="70" spans="1:56" ht="45">
      <c r="A70" s="134" t="s">
        <v>988</v>
      </c>
      <c r="B70" s="110" t="s">
        <v>878</v>
      </c>
      <c r="C70" s="101" t="s">
        <v>989</v>
      </c>
      <c r="D70" s="93" t="s">
        <v>894</v>
      </c>
      <c r="E70" s="95">
        <v>0.128</v>
      </c>
      <c r="F70" s="95">
        <f t="shared" si="56"/>
        <v>3.7840000000000013E-2</v>
      </c>
      <c r="G70" s="95">
        <f t="shared" si="57"/>
        <v>0.21815999999999999</v>
      </c>
      <c r="H70" s="95">
        <v>4.5999999999999999E-2</v>
      </c>
      <c r="I70" s="95"/>
      <c r="J70" s="96">
        <v>0.01</v>
      </c>
      <c r="K70" s="96" t="s">
        <v>992</v>
      </c>
      <c r="L70" s="92" t="s">
        <v>893</v>
      </c>
      <c r="R70" s="44" t="str">
        <f t="shared" si="46"/>
        <v>Unmet Need</v>
      </c>
      <c r="S70" s="51" t="str">
        <f t="shared" si="47"/>
        <v>ME</v>
      </c>
      <c r="T70" s="51" t="str">
        <f t="shared" si="50"/>
        <v>-13,48-8,98</v>
      </c>
      <c r="U70" s="199">
        <f t="shared" si="51"/>
        <v>-13.48</v>
      </c>
      <c r="V70" s="199">
        <f t="shared" si="52"/>
        <v>8.98</v>
      </c>
      <c r="W70" s="51" t="str" cm="1">
        <f t="array" ref="W70">_xlfn.TEXTJOIN(", ", TRUE, _xlfn.UNIQUE(_xlfn._xlws.FILTER(K$2:K$100, (A$2:A$100 = R70) * (D$2:D$100 = S70))))</f>
        <v>UK, Canada</v>
      </c>
      <c r="X70" s="51" t="str" cm="1">
        <f t="array" ref="X70">_xlfn.TEXTJOIN(", ", TRUE, _xlfn.UNIQUE(IF((A$2:A$100 = R70) * (D$2:D$100 = S70), L$2:L$100, "")))</f>
        <v>(Pinto et al., 2020)</v>
      </c>
      <c r="AC70" s="44" t="str">
        <f t="shared" si="48"/>
        <v>Unmet Need</v>
      </c>
      <c r="AD70" s="51" t="str">
        <f t="shared" si="49"/>
        <v>ME</v>
      </c>
      <c r="AE70" s="51" t="e">
        <f t="shared" si="53"/>
        <v>#VALUE!</v>
      </c>
      <c r="AF70" s="51" t="str">
        <f t="shared" si="54"/>
        <v>NA</v>
      </c>
      <c r="AG70" s="51" t="str">
        <f t="shared" si="55"/>
        <v>NA</v>
      </c>
      <c r="AH70" s="51" t="str" cm="1">
        <f t="array" ref="AH70">IFERROR(_xlfn.TEXTJOIN(", ", TRUE, _xlfn.UNIQUE(_xlfn._xlws.FILTER(K$2:K$100, (A$2:A$100 = R70) * (D$2:D$100 = S70) * ((J$2:J$100 &lt;= 0.05))))), "")</f>
        <v/>
      </c>
      <c r="AI70" s="51" t="str" cm="1">
        <f t="array" ref="AI70">_xlfn.TEXTJOIN(", ", TRUE, _xlfn.UNIQUE(IF((A$2:A$100 = R70) * (D$2:D$100 = S70) * ((J$2:J$100 &lt;= 0.05)), L$2:L$100, "")))</f>
        <v/>
      </c>
      <c r="AJ70" s="51" t="str">
        <f t="shared" si="58"/>
        <v>ME</v>
      </c>
      <c r="BC70" s="6" t="str" cm="1">
        <f t="array" ref="BC70">INDEX($BB$1:$BB$100,INT((ROW(A70)-1)/3)+1)</f>
        <v>Unstable</v>
      </c>
    </row>
    <row r="71" spans="1:56">
      <c r="A71" s="134"/>
      <c r="B71" s="110"/>
      <c r="C71" s="101"/>
      <c r="D71" s="93"/>
      <c r="E71" s="95"/>
      <c r="F71" s="95"/>
      <c r="G71" s="95"/>
      <c r="H71" s="95"/>
      <c r="I71" s="95"/>
      <c r="J71" s="100"/>
      <c r="K71" s="96"/>
      <c r="L71" s="92"/>
      <c r="R71" s="44" t="str">
        <f t="shared" si="46"/>
        <v>Unstable</v>
      </c>
      <c r="S71" s="51">
        <f t="shared" si="47"/>
        <v>0</v>
      </c>
      <c r="T71" s="51" t="str">
        <f t="shared" si="50"/>
        <v>NO DATA</v>
      </c>
      <c r="U71" s="199">
        <f t="shared" si="51"/>
        <v>0</v>
      </c>
      <c r="V71" s="199">
        <f t="shared" si="52"/>
        <v>0</v>
      </c>
      <c r="W71" s="51" t="e" cm="1" vm="1">
        <f t="array" ref="W71">_xlfn.TEXTJOIN(", ", TRUE, _xlfn.UNIQUE(_xlfn._xlws.FILTER(K$2:K$100, (A$2:A$100 = R71) * (D$2:D$100 = S71))))</f>
        <v>#VALUE!</v>
      </c>
      <c r="X71" s="51" t="str" cm="1">
        <f t="array" ref="X71">_xlfn.TEXTJOIN(", ", TRUE, _xlfn.UNIQUE(IF((A$2:A$100 = R71) * (D$2:D$100 = S71), L$2:L$100, "")))</f>
        <v/>
      </c>
      <c r="AC71" s="44" t="str">
        <f t="shared" si="48"/>
        <v>Unstable</v>
      </c>
      <c r="AD71" s="51">
        <f t="shared" si="49"/>
        <v>0</v>
      </c>
      <c r="AE71" s="51" t="e">
        <f t="shared" si="53"/>
        <v>#VALUE!</v>
      </c>
      <c r="AF71" s="51" t="str">
        <f t="shared" si="54"/>
        <v>NA</v>
      </c>
      <c r="AG71" s="51" t="str">
        <f t="shared" si="55"/>
        <v>NA</v>
      </c>
      <c r="AH71" s="51" t="str" cm="1">
        <f t="array" ref="AH71">IFERROR(_xlfn.TEXTJOIN(", ", TRUE, _xlfn.UNIQUE(_xlfn._xlws.FILTER(K$2:K$100, (A$2:A$100 = R71) * (D$2:D$100 = S71) * ((J$2:J$100 &lt;= 0.05))))), "")</f>
        <v/>
      </c>
      <c r="AI71" s="51" t="str" cm="1">
        <f t="array" ref="AI71">_xlfn.TEXTJOIN(", ", TRUE, _xlfn.UNIQUE(IF((A$2:A$100 = R71) * (D$2:D$100 = S71) * ((J$2:J$100 &lt;= 0.05)), L$2:L$100, "")))</f>
        <v/>
      </c>
      <c r="AJ71" s="51">
        <f t="shared" si="58"/>
        <v>0</v>
      </c>
      <c r="BC71" s="6" t="str" cm="1">
        <f t="array" ref="BC71">INDEX($BB$1:$BB$100,INT((ROW(A71)-1)/3)+1)</f>
        <v>Unstable</v>
      </c>
    </row>
    <row r="72" spans="1:56" ht="45">
      <c r="A72" s="134" t="s">
        <v>988</v>
      </c>
      <c r="B72" s="110" t="s">
        <v>878</v>
      </c>
      <c r="C72" s="101" t="s">
        <v>989</v>
      </c>
      <c r="D72" s="93" t="s">
        <v>894</v>
      </c>
      <c r="E72" s="95">
        <v>0.06</v>
      </c>
      <c r="F72" s="95">
        <f>E72-1.96*H72</f>
        <v>1.6879999999999999E-2</v>
      </c>
      <c r="G72" s="95">
        <f>E72+1.96*H72</f>
        <v>0.10311999999999999</v>
      </c>
      <c r="H72" s="95">
        <v>2.1999999999999999E-2</v>
      </c>
      <c r="I72" s="95"/>
      <c r="J72" s="100">
        <v>0.01</v>
      </c>
      <c r="K72" s="96" t="s">
        <v>993</v>
      </c>
      <c r="L72" s="92" t="s">
        <v>893</v>
      </c>
      <c r="R72" s="44" t="str">
        <f t="shared" si="46"/>
        <v>Unstable</v>
      </c>
      <c r="S72" s="51">
        <f t="shared" si="47"/>
        <v>0</v>
      </c>
      <c r="T72" s="51" t="str">
        <f t="shared" si="50"/>
        <v>NO DATA</v>
      </c>
      <c r="U72" s="199">
        <f t="shared" si="51"/>
        <v>0</v>
      </c>
      <c r="V72" s="199">
        <f t="shared" si="52"/>
        <v>0</v>
      </c>
      <c r="W72" s="51" t="e" cm="1" vm="1">
        <f t="array" ref="W72">_xlfn.TEXTJOIN(", ", TRUE, _xlfn.UNIQUE(_xlfn._xlws.FILTER(K$2:K$100, (A$2:A$100 = R72) * (D$2:D$100 = S72))))</f>
        <v>#VALUE!</v>
      </c>
      <c r="X72" s="51" t="str" cm="1">
        <f t="array" ref="X72">_xlfn.TEXTJOIN(", ", TRUE, _xlfn.UNIQUE(IF((A$2:A$100 = R72) * (D$2:D$100 = S72), L$2:L$100, "")))</f>
        <v/>
      </c>
      <c r="AC72" s="44" t="str">
        <f t="shared" si="48"/>
        <v>Unstable</v>
      </c>
      <c r="AD72" s="51">
        <f t="shared" si="49"/>
        <v>0</v>
      </c>
      <c r="AE72" s="51" t="e">
        <f t="shared" si="53"/>
        <v>#VALUE!</v>
      </c>
      <c r="AF72" s="51" t="str">
        <f t="shared" si="54"/>
        <v>NA</v>
      </c>
      <c r="AG72" s="51" t="str">
        <f t="shared" si="55"/>
        <v>NA</v>
      </c>
      <c r="AH72" s="51" t="str" cm="1">
        <f t="array" ref="AH72">IFERROR(_xlfn.TEXTJOIN(", ", TRUE, _xlfn.UNIQUE(_xlfn._xlws.FILTER(K$2:K$100, (A$2:A$100 = R72) * (D$2:D$100 = S72) * ((J$2:J$100 &lt;= 0.05))))), "")</f>
        <v/>
      </c>
      <c r="AI72" s="51" t="str" cm="1">
        <f t="array" ref="AI72">_xlfn.TEXTJOIN(", ", TRUE, _xlfn.UNIQUE(IF((A$2:A$100 = R72) * (D$2:D$100 = S72) * ((J$2:J$100 &lt;= 0.05)), L$2:L$100, "")))</f>
        <v/>
      </c>
      <c r="AJ72" s="51">
        <f t="shared" si="58"/>
        <v>0</v>
      </c>
      <c r="BC72" s="6" t="str" cm="1">
        <f t="array" ref="BC72">INDEX($BB$1:$BB$100,INT((ROW(A72)-1)/3)+1)</f>
        <v>Unstable</v>
      </c>
    </row>
    <row r="73" spans="1:56">
      <c r="A73" s="134"/>
      <c r="B73" s="110"/>
      <c r="C73" s="101"/>
      <c r="D73" s="93"/>
      <c r="E73" s="95"/>
      <c r="F73" s="95"/>
      <c r="G73" s="95"/>
      <c r="H73" s="95"/>
      <c r="I73" s="95"/>
      <c r="J73" s="96"/>
      <c r="K73" s="96"/>
      <c r="L73" s="92"/>
      <c r="R73" s="44" t="str">
        <f t="shared" si="46"/>
        <v>Unstable</v>
      </c>
      <c r="S73" s="51">
        <f t="shared" si="47"/>
        <v>0</v>
      </c>
      <c r="T73" s="51" t="str">
        <f t="shared" si="50"/>
        <v>NO DATA</v>
      </c>
      <c r="U73" s="199">
        <f t="shared" si="51"/>
        <v>0</v>
      </c>
      <c r="V73" s="199">
        <f t="shared" si="52"/>
        <v>0</v>
      </c>
      <c r="W73" s="51" t="e" cm="1" vm="1">
        <f t="array" ref="W73">_xlfn.TEXTJOIN(", ", TRUE, _xlfn.UNIQUE(_xlfn._xlws.FILTER(K$2:K$100, (A$2:A$100 = R73) * (D$2:D$100 = S73))))</f>
        <v>#VALUE!</v>
      </c>
      <c r="X73" s="51" t="str" cm="1">
        <f t="array" ref="X73">_xlfn.TEXTJOIN(", ", TRUE, _xlfn.UNIQUE(IF((A$2:A$100 = R73) * (D$2:D$100 = S73), L$2:L$100, "")))</f>
        <v/>
      </c>
      <c r="AC73" s="44" t="str">
        <f t="shared" si="48"/>
        <v>Unstable</v>
      </c>
      <c r="AD73" s="51">
        <f t="shared" si="49"/>
        <v>0</v>
      </c>
      <c r="AE73" s="51" t="e">
        <f t="shared" si="53"/>
        <v>#VALUE!</v>
      </c>
      <c r="AF73" s="51" t="str">
        <f t="shared" si="54"/>
        <v>NA</v>
      </c>
      <c r="AG73" s="51" t="str">
        <f t="shared" si="55"/>
        <v>NA</v>
      </c>
      <c r="AH73" s="51" t="str" cm="1">
        <f t="array" ref="AH73">IFERROR(_xlfn.TEXTJOIN(", ", TRUE, _xlfn.UNIQUE(_xlfn._xlws.FILTER(K$2:K$100, (A$2:A$100 = R73) * (D$2:D$100 = S73) * ((J$2:J$100 &lt;= 0.05))))), "")</f>
        <v/>
      </c>
      <c r="AI73" s="51" t="str" cm="1">
        <f t="array" ref="AI73">_xlfn.TEXTJOIN(", ", TRUE, _xlfn.UNIQUE(IF((A$2:A$100 = R73) * (D$2:D$100 = S73) * ((J$2:J$100 &lt;= 0.05)), L$2:L$100, "")))</f>
        <v/>
      </c>
      <c r="AJ73" s="51">
        <f t="shared" si="58"/>
        <v>0</v>
      </c>
      <c r="BC73" s="6" cm="1">
        <f t="array" ref="BC73">INDEX($BB$1:$BB$100,INT((ROW(A73)-1)/3)+1)</f>
        <v>0</v>
      </c>
    </row>
    <row r="74" spans="1:56">
      <c r="A74" s="134"/>
      <c r="B74" s="110"/>
      <c r="C74" s="101"/>
      <c r="D74" s="93"/>
      <c r="E74" s="95"/>
      <c r="F74" s="95"/>
      <c r="G74" s="95"/>
      <c r="H74" s="95"/>
      <c r="I74" s="95"/>
      <c r="J74" s="96"/>
      <c r="K74" s="96"/>
      <c r="L74" s="92"/>
      <c r="R74" s="205"/>
      <c r="S74" s="202"/>
      <c r="T74" s="202"/>
      <c r="U74" s="206"/>
      <c r="V74" s="206"/>
      <c r="W74" s="202"/>
      <c r="X74" s="202"/>
      <c r="Y74" s="207"/>
      <c r="Z74" s="207"/>
      <c r="AA74" s="207"/>
      <c r="AB74" s="207"/>
      <c r="AC74" s="205"/>
      <c r="AD74" s="202"/>
      <c r="AE74" s="202"/>
      <c r="AF74" s="202"/>
      <c r="AG74" s="202"/>
      <c r="AH74" s="202"/>
      <c r="AI74" s="202"/>
      <c r="BC74" s="6" cm="1">
        <f t="array" ref="BC74">INDEX($BB$1:$BB$100,INT((ROW(A74)-1)/3)+1)</f>
        <v>0</v>
      </c>
    </row>
    <row r="75" spans="1:56" ht="165">
      <c r="A75" s="134" t="s">
        <v>988</v>
      </c>
      <c r="B75" s="110" t="s">
        <v>878</v>
      </c>
      <c r="C75" s="192" t="s">
        <v>989</v>
      </c>
      <c r="D75" s="93" t="s">
        <v>891</v>
      </c>
      <c r="E75" s="95">
        <v>0.33600000000000002</v>
      </c>
      <c r="F75" s="95"/>
      <c r="G75" s="95"/>
      <c r="H75" s="95">
        <v>0.249</v>
      </c>
      <c r="I75" s="95"/>
      <c r="J75" s="118" t="s">
        <v>886</v>
      </c>
      <c r="K75" s="96" t="s">
        <v>987</v>
      </c>
      <c r="L75" s="119" t="s">
        <v>893</v>
      </c>
      <c r="R75" s="205"/>
      <c r="S75" s="202"/>
      <c r="T75" s="202"/>
      <c r="U75" s="206"/>
      <c r="V75" s="206"/>
      <c r="W75" s="202"/>
      <c r="X75" s="202"/>
      <c r="Y75" s="207"/>
      <c r="Z75" s="207"/>
      <c r="AA75" s="207"/>
      <c r="AB75" s="207"/>
      <c r="AC75" s="205"/>
      <c r="AD75" s="202"/>
      <c r="AE75" s="202"/>
      <c r="AF75" s="202"/>
      <c r="AG75" s="202"/>
      <c r="AH75" s="202"/>
      <c r="AI75" s="202"/>
      <c r="BC75" s="6" cm="1">
        <f t="array" ref="BC75">INDEX($BB$1:$BB$100,INT((ROW(A75)-1)/3)+1)</f>
        <v>0</v>
      </c>
    </row>
    <row r="76" spans="1:56" ht="45">
      <c r="A76" s="134" t="s">
        <v>994</v>
      </c>
      <c r="B76" s="110" t="s">
        <v>878</v>
      </c>
      <c r="C76" s="101" t="s">
        <v>995</v>
      </c>
      <c r="D76" s="93" t="s">
        <v>879</v>
      </c>
      <c r="E76" s="95">
        <v>4.0970000000000004</v>
      </c>
      <c r="F76" s="95">
        <v>0.98399999999999999</v>
      </c>
      <c r="G76" s="95">
        <v>43.74</v>
      </c>
      <c r="H76" s="95"/>
      <c r="I76" s="95"/>
      <c r="J76" s="96" t="s">
        <v>886</v>
      </c>
      <c r="K76" s="96" t="s">
        <v>840</v>
      </c>
      <c r="L76" s="92" t="s">
        <v>889</v>
      </c>
      <c r="R76" s="205"/>
      <c r="S76" s="202"/>
      <c r="T76" s="202"/>
      <c r="U76" s="206"/>
      <c r="V76" s="206"/>
      <c r="W76" s="202"/>
      <c r="X76" s="202"/>
      <c r="Y76" s="207"/>
      <c r="Z76" s="207"/>
      <c r="AA76" s="207"/>
      <c r="AB76" s="207"/>
      <c r="AC76" s="205"/>
      <c r="AD76" s="202"/>
      <c r="AE76" s="202"/>
      <c r="AF76" s="202"/>
      <c r="AG76" s="202"/>
      <c r="AH76" s="202"/>
      <c r="AI76" s="202"/>
      <c r="BC76" s="6" cm="1">
        <f t="array" ref="BC76">INDEX($BB$1:$BB$100,INT((ROW(A76)-1)/3)+1)</f>
        <v>0</v>
      </c>
    </row>
    <row r="77" spans="1:56" ht="30">
      <c r="A77" s="134" t="s">
        <v>996</v>
      </c>
      <c r="B77" s="108" t="s">
        <v>897</v>
      </c>
      <c r="C77" s="98" t="s">
        <v>997</v>
      </c>
      <c r="D77" s="93" t="s">
        <v>879</v>
      </c>
      <c r="E77" s="95" t="s">
        <v>998</v>
      </c>
      <c r="F77" s="95">
        <f>1/7.14</f>
        <v>0.14005602240896359</v>
      </c>
      <c r="G77" s="95">
        <f>1/1</f>
        <v>1</v>
      </c>
      <c r="H77" s="95"/>
      <c r="I77" s="95"/>
      <c r="J77" s="96" t="s">
        <v>965</v>
      </c>
      <c r="K77" s="96" t="s">
        <v>365</v>
      </c>
      <c r="L77" s="92" t="s">
        <v>999</v>
      </c>
      <c r="R77" s="205"/>
      <c r="S77" s="202"/>
      <c r="T77" s="202"/>
      <c r="U77" s="206"/>
      <c r="V77" s="206"/>
      <c r="W77" s="202"/>
      <c r="X77" s="202"/>
      <c r="Y77" s="207"/>
      <c r="Z77" s="207"/>
      <c r="AA77" s="207"/>
      <c r="AB77" s="207"/>
      <c r="AC77" s="205"/>
      <c r="AD77" s="202"/>
      <c r="AE77" s="202"/>
      <c r="AF77" s="202"/>
      <c r="AG77" s="202"/>
      <c r="AH77" s="202"/>
      <c r="AI77" s="202"/>
      <c r="BC77" s="6" cm="1">
        <f t="array" ref="BC77">INDEX($BB$1:$BB$100,INT((ROW(A77)-1)/3)+1)</f>
        <v>0</v>
      </c>
    </row>
    <row r="78" spans="1:56" ht="30">
      <c r="A78" s="134" t="s">
        <v>1000</v>
      </c>
      <c r="B78" s="110" t="s">
        <v>949</v>
      </c>
      <c r="C78" s="101" t="s">
        <v>1001</v>
      </c>
      <c r="D78" s="93" t="s">
        <v>891</v>
      </c>
      <c r="E78" s="95">
        <f>1/EXP(1.79)</f>
        <v>0.16696016966704069</v>
      </c>
      <c r="F78" s="95">
        <f>1/EXP(3.41)</f>
        <v>3.3041200375886932E-2</v>
      </c>
      <c r="G78" s="95">
        <f>1/EXP(0.16)</f>
        <v>0.85214378896621135</v>
      </c>
      <c r="H78" s="95"/>
      <c r="I78" s="95"/>
      <c r="J78" s="96">
        <v>3.2000000000000001E-2</v>
      </c>
      <c r="K78" s="96" t="s">
        <v>152</v>
      </c>
      <c r="L78" s="92" t="s">
        <v>950</v>
      </c>
      <c r="R78" s="205"/>
      <c r="S78" s="202"/>
      <c r="T78" s="202"/>
      <c r="U78" s="206"/>
      <c r="V78" s="206"/>
      <c r="W78" s="202"/>
      <c r="X78" s="202"/>
      <c r="Y78" s="207"/>
      <c r="Z78" s="207"/>
      <c r="AA78" s="207"/>
      <c r="AB78" s="207"/>
      <c r="AC78" s="205"/>
      <c r="AD78" s="202"/>
      <c r="AE78" s="202"/>
      <c r="AF78" s="202"/>
      <c r="AG78" s="202"/>
      <c r="AH78" s="202"/>
      <c r="AI78" s="202"/>
      <c r="BC78" s="6" cm="1">
        <f t="array" ref="BC78">INDEX($BB$1:$BB$100,INT((ROW(A78)-1)/3)+1)</f>
        <v>0</v>
      </c>
    </row>
    <row r="79" spans="1:56">
      <c r="A79" s="134"/>
      <c r="B79" s="110"/>
      <c r="C79" s="101"/>
      <c r="D79" s="93"/>
      <c r="E79" s="95"/>
      <c r="F79" s="95"/>
      <c r="G79" s="95"/>
      <c r="H79" s="95"/>
      <c r="I79" s="95"/>
      <c r="J79" s="96"/>
      <c r="K79" s="96"/>
      <c r="L79" s="92"/>
      <c r="BC79" s="6" cm="1">
        <f t="array" ref="BC79">INDEX($BB$1:$BB$100,INT((ROW(A79)-1)/3)+1)</f>
        <v>0</v>
      </c>
    </row>
    <row r="80" spans="1:56" ht="30">
      <c r="A80" s="134" t="s">
        <v>1000</v>
      </c>
      <c r="B80" s="110" t="s">
        <v>914</v>
      </c>
      <c r="C80" s="101" t="s">
        <v>1001</v>
      </c>
      <c r="D80" s="93" t="s">
        <v>891</v>
      </c>
      <c r="E80" s="95">
        <f>1/EXP(-1.555)</f>
        <v>4.7350865251594234</v>
      </c>
      <c r="F80" s="95">
        <f>1/EXP(1.511)</f>
        <v>0.22068917839959867</v>
      </c>
      <c r="G80" s="95">
        <f>1/EXP(-4.62)</f>
        <v>101.49403212954562</v>
      </c>
      <c r="H80" s="95"/>
      <c r="I80" s="95"/>
      <c r="J80" s="96">
        <v>0.32</v>
      </c>
      <c r="K80" s="96" t="s">
        <v>840</v>
      </c>
      <c r="L80" s="92" t="s">
        <v>916</v>
      </c>
      <c r="BC80" s="6" cm="1">
        <f t="array" ref="BC80">INDEX($BB$1:$BB$100,INT((ROW(A80)-1)/3)+1)</f>
        <v>0</v>
      </c>
    </row>
    <row r="81" spans="1:55" ht="30">
      <c r="A81" s="134" t="s">
        <v>1000</v>
      </c>
      <c r="B81" s="110" t="s">
        <v>878</v>
      </c>
      <c r="C81" s="101" t="s">
        <v>1001</v>
      </c>
      <c r="D81" s="93" t="s">
        <v>879</v>
      </c>
      <c r="E81" s="95">
        <v>0.4093</v>
      </c>
      <c r="F81" s="95">
        <v>1.43E-2</v>
      </c>
      <c r="G81" s="95">
        <v>11.741099999999999</v>
      </c>
      <c r="H81" s="95"/>
      <c r="I81" s="95"/>
      <c r="J81" s="96">
        <v>0.60189999999999999</v>
      </c>
      <c r="K81" s="96" t="s">
        <v>880</v>
      </c>
      <c r="L81" s="92" t="s">
        <v>881</v>
      </c>
      <c r="BC81" s="6" cm="1">
        <f t="array" ref="BC81">INDEX($BB$1:$BB$100,INT((ROW(A81)-1)/3)+1)</f>
        <v>0</v>
      </c>
    </row>
    <row r="82" spans="1:55" ht="30">
      <c r="A82" s="193" t="s">
        <v>1002</v>
      </c>
      <c r="B82" s="100" t="s">
        <v>878</v>
      </c>
      <c r="C82" s="165" t="s">
        <v>1002</v>
      </c>
      <c r="D82" s="93" t="s">
        <v>879</v>
      </c>
      <c r="E82" s="95">
        <f>EXP(-0.423)</f>
        <v>0.65507863311180625</v>
      </c>
      <c r="F82" s="95">
        <f>EXP(-3.215)</f>
        <v>4.0155333823624025E-2</v>
      </c>
      <c r="G82" s="95">
        <f>EXP(2.369)</f>
        <v>10.686700238740633</v>
      </c>
      <c r="H82" s="95"/>
      <c r="I82" s="95"/>
      <c r="J82" s="100">
        <v>0.76700000000000002</v>
      </c>
      <c r="K82" s="100" t="s">
        <v>365</v>
      </c>
      <c r="L82" s="100" t="s">
        <v>895</v>
      </c>
      <c r="BC82" s="6" cm="1">
        <f t="array" ref="BC82">INDEX($BB$1:$BB$100,INT((ROW(A82)-1)/3)+1)</f>
        <v>0</v>
      </c>
    </row>
    <row r="83" spans="1:55" ht="30">
      <c r="A83" s="134" t="s">
        <v>1003</v>
      </c>
      <c r="B83" s="150" t="s">
        <v>1004</v>
      </c>
      <c r="C83" s="98" t="s">
        <v>1003</v>
      </c>
      <c r="D83" s="93" t="s">
        <v>879</v>
      </c>
      <c r="E83" s="95">
        <v>4.6899999999999997E-2</v>
      </c>
      <c r="F83" s="95">
        <v>8.6999999999999994E-3</v>
      </c>
      <c r="G83" s="95">
        <v>0.25190000000000001</v>
      </c>
      <c r="H83" s="95"/>
      <c r="I83" s="95"/>
      <c r="J83" s="96">
        <v>0.01</v>
      </c>
      <c r="K83" s="96" t="s">
        <v>976</v>
      </c>
      <c r="L83" s="100" t="s">
        <v>968</v>
      </c>
      <c r="BC83" s="6" cm="1">
        <f t="array" ref="BC83">INDEX($BB$1:$BB$100,INT((ROW(A83)-1)/3)+1)</f>
        <v>0</v>
      </c>
    </row>
    <row r="84" spans="1:55" ht="30">
      <c r="A84" s="134" t="s">
        <v>1005</v>
      </c>
      <c r="B84" s="150" t="s">
        <v>1004</v>
      </c>
      <c r="C84" s="98" t="s">
        <v>1006</v>
      </c>
      <c r="D84" s="93" t="s">
        <v>879</v>
      </c>
      <c r="E84" s="95">
        <v>3.0718000000000001</v>
      </c>
      <c r="F84" s="95">
        <v>0.99839999999999995</v>
      </c>
      <c r="G84" s="95">
        <v>9.4511000000000003</v>
      </c>
      <c r="H84" s="95"/>
      <c r="I84" s="95"/>
      <c r="J84" s="96" t="s">
        <v>886</v>
      </c>
      <c r="K84" s="96" t="s">
        <v>976</v>
      </c>
      <c r="L84" s="100" t="s">
        <v>968</v>
      </c>
      <c r="BC84" s="6" cm="1">
        <f t="array" ref="BC84">INDEX($BB$1:$BB$100,INT((ROW(A84)-1)/3)+1)</f>
        <v>0</v>
      </c>
    </row>
    <row r="85" spans="1:55" ht="45">
      <c r="A85" s="134" t="s">
        <v>1007</v>
      </c>
      <c r="B85" s="110" t="s">
        <v>878</v>
      </c>
      <c r="C85" s="101" t="s">
        <v>1008</v>
      </c>
      <c r="D85" s="93" t="s">
        <v>879</v>
      </c>
      <c r="E85" s="95">
        <v>0.28799999999999998</v>
      </c>
      <c r="F85" s="95">
        <v>8.8999999999999996E-2</v>
      </c>
      <c r="G85" s="95">
        <v>0.92700000000000005</v>
      </c>
      <c r="H85" s="95"/>
      <c r="I85" s="95"/>
      <c r="J85" s="96">
        <v>0.05</v>
      </c>
      <c r="K85" s="96" t="s">
        <v>840</v>
      </c>
      <c r="L85" s="92" t="s">
        <v>889</v>
      </c>
      <c r="BC85" s="6" cm="1">
        <f t="array" ref="BC85">INDEX($BB$1:$BB$100,INT((ROW(A85)-1)/3)+1)</f>
        <v>0</v>
      </c>
    </row>
    <row r="86" spans="1:55" ht="90">
      <c r="A86" s="134" t="s">
        <v>1009</v>
      </c>
      <c r="B86" s="110" t="s">
        <v>885</v>
      </c>
      <c r="C86" s="101" t="s">
        <v>1010</v>
      </c>
      <c r="D86" s="93" t="s">
        <v>879</v>
      </c>
      <c r="E86" s="95">
        <v>4.0510000000000002</v>
      </c>
      <c r="F86" s="95"/>
      <c r="G86" s="95"/>
      <c r="H86" s="95">
        <v>3.9350000000000001</v>
      </c>
      <c r="I86" s="95"/>
      <c r="J86" s="96" t="s">
        <v>886</v>
      </c>
      <c r="K86" s="96" t="s">
        <v>887</v>
      </c>
      <c r="L86" s="92" t="s">
        <v>888</v>
      </c>
      <c r="BC86" s="6" cm="1">
        <f t="array" ref="BC86">INDEX($BB$1:$BB$100,INT((ROW(A86)-1)/3)+1)</f>
        <v>0</v>
      </c>
    </row>
    <row r="87" spans="1:55" ht="30">
      <c r="A87" s="134" t="s">
        <v>1011</v>
      </c>
      <c r="B87" s="150" t="s">
        <v>1004</v>
      </c>
      <c r="C87" s="98" t="s">
        <v>1011</v>
      </c>
      <c r="D87" s="93" t="s">
        <v>879</v>
      </c>
      <c r="E87" s="95">
        <v>4.6399999999999997E-2</v>
      </c>
      <c r="F87" s="95">
        <v>1.3299999999999999E-2</v>
      </c>
      <c r="G87" s="95">
        <v>0.1623</v>
      </c>
      <c r="H87" s="95"/>
      <c r="I87" s="95"/>
      <c r="J87" s="96">
        <v>0.01</v>
      </c>
      <c r="K87" s="96" t="s">
        <v>976</v>
      </c>
      <c r="L87" s="100" t="s">
        <v>968</v>
      </c>
      <c r="BC87" s="6" cm="1">
        <f t="array" ref="BC87">INDEX($BB$1:$BB$100,INT((ROW(A87)-1)/3)+1)</f>
        <v>0</v>
      </c>
    </row>
    <row r="88" spans="1:55" ht="45">
      <c r="A88" s="134" t="s">
        <v>1012</v>
      </c>
      <c r="B88" s="110" t="s">
        <v>878</v>
      </c>
      <c r="C88" s="101" t="s">
        <v>1013</v>
      </c>
      <c r="D88" s="93" t="s">
        <v>879</v>
      </c>
      <c r="E88" s="95">
        <v>3.4542000000000002</v>
      </c>
      <c r="F88" s="95">
        <v>0.16370000000000001</v>
      </c>
      <c r="G88" s="95">
        <v>72.882000000000005</v>
      </c>
      <c r="H88" s="95"/>
      <c r="I88" s="95"/>
      <c r="J88" s="96">
        <v>0.42559999999999998</v>
      </c>
      <c r="K88" s="96" t="s">
        <v>880</v>
      </c>
      <c r="L88" s="92" t="s">
        <v>881</v>
      </c>
      <c r="BC88" s="6" cm="1">
        <f t="array" ref="BC88">INDEX($BB$1:$BB$100,INT((ROW(A88)-1)/3)+1)</f>
        <v>0</v>
      </c>
    </row>
    <row r="89" spans="1:55" ht="30">
      <c r="A89" s="134" t="s">
        <v>1014</v>
      </c>
      <c r="B89" s="110" t="s">
        <v>907</v>
      </c>
      <c r="C89" s="165" t="s">
        <v>1014</v>
      </c>
      <c r="D89" s="93" t="s">
        <v>894</v>
      </c>
      <c r="E89" s="95">
        <v>8.98</v>
      </c>
      <c r="F89" s="95">
        <v>-11.45</v>
      </c>
      <c r="G89" s="95">
        <v>29.41</v>
      </c>
      <c r="H89" s="95"/>
      <c r="I89" s="95"/>
      <c r="J89" s="100">
        <v>0.38100000000000001</v>
      </c>
      <c r="K89" s="100" t="s">
        <v>840</v>
      </c>
      <c r="L89" s="100" t="s">
        <v>990</v>
      </c>
      <c r="BC89" s="6" cm="1">
        <f t="array" ref="BC89">INDEX($BB$1:$BB$100,INT((ROW(A89)-1)/3)+1)</f>
        <v>0</v>
      </c>
    </row>
    <row r="90" spans="1:55" ht="30">
      <c r="A90" s="134" t="s">
        <v>1014</v>
      </c>
      <c r="B90" s="110" t="s">
        <v>907</v>
      </c>
      <c r="C90" s="101" t="s">
        <v>1014</v>
      </c>
      <c r="D90" s="93" t="s">
        <v>894</v>
      </c>
      <c r="E90" s="95">
        <v>-13.48</v>
      </c>
      <c r="F90" s="95">
        <v>-67.59</v>
      </c>
      <c r="G90" s="95">
        <v>40.630000000000003</v>
      </c>
      <c r="H90" s="95"/>
      <c r="I90" s="95"/>
      <c r="J90" s="96">
        <v>0.61799999999999999</v>
      </c>
      <c r="K90" s="96" t="s">
        <v>631</v>
      </c>
      <c r="L90" s="92" t="s">
        <v>990</v>
      </c>
      <c r="BC90" s="6" cm="1">
        <f t="array" ref="BC90">INDEX($BB$1:$BB$100,INT((ROW(A90)-1)/3)+1)</f>
        <v>0</v>
      </c>
    </row>
    <row r="91" spans="1:55">
      <c r="A91" s="134"/>
      <c r="B91" s="110"/>
      <c r="C91" s="101"/>
      <c r="D91" s="93"/>
      <c r="E91" s="95"/>
      <c r="F91" s="95"/>
      <c r="G91" s="95"/>
      <c r="H91" s="95"/>
      <c r="I91" s="95"/>
      <c r="J91" s="96"/>
      <c r="K91" s="96"/>
      <c r="L91" s="92"/>
      <c r="BC91" s="6" cm="1">
        <f t="array" ref="BC91">INDEX($BB$1:$BB$100,INT((ROW(A91)-1)/3)+1)</f>
        <v>0</v>
      </c>
    </row>
    <row r="92" spans="1:55" ht="30">
      <c r="A92" s="145" t="s">
        <v>1014</v>
      </c>
      <c r="B92" s="106" t="s">
        <v>903</v>
      </c>
      <c r="C92" s="101" t="s">
        <v>1015</v>
      </c>
      <c r="D92" s="93" t="s">
        <v>879</v>
      </c>
      <c r="E92" s="95">
        <v>25.552</v>
      </c>
      <c r="F92" s="95">
        <v>1.4390000000000001</v>
      </c>
      <c r="G92" s="95">
        <v>453.59100000000001</v>
      </c>
      <c r="H92" s="95"/>
      <c r="I92" s="95"/>
      <c r="J92" s="96">
        <v>0.05</v>
      </c>
      <c r="K92" s="96" t="s">
        <v>182</v>
      </c>
      <c r="L92" s="100" t="s">
        <v>905</v>
      </c>
      <c r="BC92" s="6" cm="1">
        <f t="array" ref="BC92">INDEX($BB$1:$BB$100,INT((ROW(A92)-1)/3)+1)</f>
        <v>0</v>
      </c>
    </row>
    <row r="93" spans="1:55" ht="45">
      <c r="A93" s="134" t="s">
        <v>1014</v>
      </c>
      <c r="B93" s="110" t="s">
        <v>878</v>
      </c>
      <c r="C93" s="101" t="s">
        <v>1016</v>
      </c>
      <c r="D93" s="93" t="s">
        <v>879</v>
      </c>
      <c r="E93" s="95">
        <v>4.2789999999999999</v>
      </c>
      <c r="F93" s="95">
        <v>0.69599999999999995</v>
      </c>
      <c r="G93" s="95">
        <v>26.297000000000001</v>
      </c>
      <c r="H93" s="95"/>
      <c r="I93" s="95"/>
      <c r="J93" s="96" t="s">
        <v>886</v>
      </c>
      <c r="K93" s="96" t="s">
        <v>840</v>
      </c>
      <c r="L93" s="92" t="s">
        <v>889</v>
      </c>
      <c r="BC93" s="6" cm="1">
        <f t="array" ref="BC93">INDEX($BB$1:$BB$100,INT((ROW(A93)-1)/3)+1)</f>
        <v>0</v>
      </c>
    </row>
    <row r="94" spans="1:55" ht="30">
      <c r="A94" s="134" t="s">
        <v>1014</v>
      </c>
      <c r="B94" s="150" t="s">
        <v>1004</v>
      </c>
      <c r="C94" s="101" t="s">
        <v>1017</v>
      </c>
      <c r="D94" s="93" t="s">
        <v>879</v>
      </c>
      <c r="E94" s="95">
        <f>1/1.0069</f>
        <v>0.99314728374217909</v>
      </c>
      <c r="F94" s="95">
        <f>1/3.3396</f>
        <v>0.29943705833033896</v>
      </c>
      <c r="G94" s="95">
        <f>1/0.3036</f>
        <v>3.293807641633729</v>
      </c>
      <c r="H94" s="128"/>
      <c r="I94" s="95"/>
      <c r="J94" s="96" t="s">
        <v>886</v>
      </c>
      <c r="K94" s="96" t="s">
        <v>976</v>
      </c>
      <c r="L94" s="100" t="s">
        <v>968</v>
      </c>
      <c r="BC94" s="6" cm="1">
        <f t="array" ref="BC94">INDEX($BB$1:$BB$100,INT((ROW(A94)-1)/3)+1)</f>
        <v>0</v>
      </c>
    </row>
    <row r="95" spans="1:55" ht="30">
      <c r="A95" s="134" t="s">
        <v>1014</v>
      </c>
      <c r="B95" s="150" t="s">
        <v>1018</v>
      </c>
      <c r="C95" s="101" t="s">
        <v>1017</v>
      </c>
      <c r="D95" s="93" t="s">
        <v>879</v>
      </c>
      <c r="E95" s="95">
        <f>1/1.0575</f>
        <v>0.94562647754137108</v>
      </c>
      <c r="F95" s="95">
        <f>1/3.5039</f>
        <v>0.28539627272467821</v>
      </c>
      <c r="G95" s="95">
        <f>1/0.3162</f>
        <v>3.1625553447185326</v>
      </c>
      <c r="H95" s="128"/>
      <c r="I95" s="95"/>
      <c r="J95" s="96" t="s">
        <v>886</v>
      </c>
      <c r="K95" s="96" t="s">
        <v>967</v>
      </c>
      <c r="L95" s="100" t="s">
        <v>968</v>
      </c>
      <c r="BC95" s="6" cm="1">
        <f t="array" ref="BC95">INDEX($BB$1:$BB$100,INT((ROW(A95)-1)/3)+1)</f>
        <v>0</v>
      </c>
    </row>
    <row r="96" spans="1:55" ht="30">
      <c r="A96" s="134" t="s">
        <v>1014</v>
      </c>
      <c r="B96" s="110" t="s">
        <v>914</v>
      </c>
      <c r="C96" s="101" t="s">
        <v>1017</v>
      </c>
      <c r="D96" s="93" t="s">
        <v>891</v>
      </c>
      <c r="E96" s="95">
        <f>1/EXP(-0.417)</f>
        <v>1.5174025129350845</v>
      </c>
      <c r="F96" s="95">
        <f>1/EXP(0.941)</f>
        <v>0.39023740277199193</v>
      </c>
      <c r="G96" s="95">
        <f>1/EXP(-3.043)</f>
        <v>20.968053132536788</v>
      </c>
      <c r="H96" s="95"/>
      <c r="I96" s="95"/>
      <c r="J96" s="96" t="s">
        <v>886</v>
      </c>
      <c r="K96" s="96" t="s">
        <v>840</v>
      </c>
      <c r="L96" s="100" t="s">
        <v>916</v>
      </c>
      <c r="BC96" s="6" cm="1">
        <f t="array" ref="BC96">INDEX($BB$1:$BB$100,INT((ROW(A96)-1)/3)+1)</f>
        <v>0</v>
      </c>
    </row>
    <row r="97" spans="1:55" ht="60">
      <c r="A97" s="134" t="s">
        <v>1014</v>
      </c>
      <c r="B97" s="110" t="s">
        <v>885</v>
      </c>
      <c r="C97" s="101" t="s">
        <v>1014</v>
      </c>
      <c r="D97" s="93" t="s">
        <v>879</v>
      </c>
      <c r="E97" s="95">
        <v>0.33700000000000002</v>
      </c>
      <c r="F97" s="95"/>
      <c r="G97" s="95"/>
      <c r="H97" s="95">
        <v>0.20300000000000001</v>
      </c>
      <c r="I97" s="95"/>
      <c r="J97" s="96" t="s">
        <v>886</v>
      </c>
      <c r="K97" s="96" t="s">
        <v>1019</v>
      </c>
      <c r="L97" s="92" t="s">
        <v>888</v>
      </c>
      <c r="BC97" s="6" cm="1">
        <f t="array" ref="BC97">INDEX($BB$1:$BB$100,INT((ROW(A97)-1)/3)+1)</f>
        <v>0</v>
      </c>
    </row>
    <row r="98" spans="1:55" ht="165">
      <c r="A98" s="134" t="s">
        <v>1014</v>
      </c>
      <c r="B98" s="110" t="s">
        <v>878</v>
      </c>
      <c r="C98" s="192" t="s">
        <v>1014</v>
      </c>
      <c r="D98" s="93" t="s">
        <v>891</v>
      </c>
      <c r="E98" s="95">
        <v>0.96299999999999997</v>
      </c>
      <c r="F98" s="95"/>
      <c r="G98" s="95"/>
      <c r="H98" s="95">
        <v>0.33900000000000002</v>
      </c>
      <c r="I98" s="95"/>
      <c r="J98" s="118" t="s">
        <v>886</v>
      </c>
      <c r="K98" s="96" t="s">
        <v>987</v>
      </c>
      <c r="L98" s="119" t="s">
        <v>893</v>
      </c>
      <c r="BC98" s="6" cm="1">
        <f t="array" ref="BC98">INDEX($BB$1:$BB$100,INT((ROW(A98)-1)/3)+1)</f>
        <v>0</v>
      </c>
    </row>
    <row r="99" spans="1:55" ht="30">
      <c r="A99" s="134" t="s">
        <v>1020</v>
      </c>
      <c r="B99" s="108" t="s">
        <v>897</v>
      </c>
      <c r="C99" s="101" t="s">
        <v>1021</v>
      </c>
      <c r="D99" s="93" t="s">
        <v>879</v>
      </c>
      <c r="E99" s="95">
        <v>14.188000000000001</v>
      </c>
      <c r="F99" s="95">
        <v>1.0820000000000001</v>
      </c>
      <c r="G99" s="95">
        <v>186.02799999999999</v>
      </c>
      <c r="H99" s="95"/>
      <c r="I99" s="95"/>
      <c r="J99" s="96">
        <v>4.2999999999999997E-2</v>
      </c>
      <c r="K99" s="96" t="s">
        <v>335</v>
      </c>
      <c r="L99" s="100" t="s">
        <v>1022</v>
      </c>
      <c r="M99" s="7"/>
      <c r="BC99" s="6" cm="1">
        <f t="array" ref="BC99">INDEX($BB$1:$BB$100,INT((ROW(A99)-1)/3)+1)</f>
        <v>0</v>
      </c>
    </row>
    <row r="100" spans="1:55" ht="180">
      <c r="A100" s="134" t="s">
        <v>988</v>
      </c>
      <c r="B100" s="108" t="s">
        <v>897</v>
      </c>
      <c r="C100" s="101" t="s">
        <v>1023</v>
      </c>
      <c r="D100" s="93" t="s">
        <v>879</v>
      </c>
      <c r="E100" s="95">
        <v>8.61</v>
      </c>
      <c r="F100" s="95">
        <v>1.03</v>
      </c>
      <c r="G100" s="95">
        <v>72.94</v>
      </c>
      <c r="H100" s="95"/>
      <c r="I100" s="95"/>
      <c r="J100" s="96" t="s">
        <v>1024</v>
      </c>
      <c r="K100" s="96" t="s">
        <v>1025</v>
      </c>
      <c r="L100" s="92" t="s">
        <v>1026</v>
      </c>
      <c r="BC100" s="6" cm="1">
        <f t="array" ref="BC100">INDEX($BB$1:$BB$100,INT((ROW(A100)-1)/3)+1)</f>
        <v>0</v>
      </c>
    </row>
    <row r="101" spans="1:55" ht="45">
      <c r="A101" s="102"/>
      <c r="B101" s="108" t="s">
        <v>897</v>
      </c>
      <c r="C101" s="101" t="s">
        <v>1027</v>
      </c>
      <c r="D101" s="93" t="s">
        <v>879</v>
      </c>
      <c r="E101" s="95">
        <v>2.08</v>
      </c>
      <c r="F101" s="95">
        <v>0.86</v>
      </c>
      <c r="G101" s="95">
        <v>5.0599999999999996</v>
      </c>
      <c r="H101" s="95"/>
      <c r="I101" s="95"/>
      <c r="J101" s="96" t="s">
        <v>886</v>
      </c>
      <c r="K101" s="96" t="s">
        <v>365</v>
      </c>
      <c r="L101" s="92" t="s">
        <v>919</v>
      </c>
      <c r="BC101" s="6" cm="1">
        <f t="array" ref="BC101">INDEX($BB$1:$BB$100,INT((ROW(A101)-1)/3)+1)</f>
        <v>0</v>
      </c>
    </row>
    <row r="102" spans="1:55" ht="30">
      <c r="A102" s="102"/>
      <c r="B102" s="110" t="s">
        <v>903</v>
      </c>
      <c r="C102" s="101" t="s">
        <v>1028</v>
      </c>
      <c r="D102" s="93" t="s">
        <v>879</v>
      </c>
      <c r="E102" s="95">
        <v>1.996</v>
      </c>
      <c r="F102" s="95">
        <v>0.193</v>
      </c>
      <c r="G102" s="95">
        <v>20.635999999999999</v>
      </c>
      <c r="H102" s="95"/>
      <c r="I102" s="95"/>
      <c r="J102" s="96" t="s">
        <v>886</v>
      </c>
      <c r="K102" s="96" t="s">
        <v>182</v>
      </c>
      <c r="L102" s="100" t="s">
        <v>905</v>
      </c>
    </row>
    <row r="103" spans="1:55" ht="60">
      <c r="A103" s="102"/>
      <c r="B103" s="110" t="s">
        <v>878</v>
      </c>
      <c r="C103" s="165" t="s">
        <v>1029</v>
      </c>
      <c r="D103" s="93" t="s">
        <v>879</v>
      </c>
      <c r="E103" s="95">
        <f>EXP(2.872)</f>
        <v>17.67232753380118</v>
      </c>
      <c r="F103" s="95">
        <f>EXP(-0.166)</f>
        <v>0.84704623418939962</v>
      </c>
      <c r="G103" s="95">
        <f>EXP(5.909)</f>
        <v>368.3376335455896</v>
      </c>
      <c r="H103" s="95"/>
      <c r="I103" s="95"/>
      <c r="J103" s="100">
        <v>6.4000000000000001E-2</v>
      </c>
      <c r="K103" s="100" t="s">
        <v>365</v>
      </c>
      <c r="L103" s="100" t="s">
        <v>895</v>
      </c>
    </row>
    <row r="104" spans="1:55" ht="30">
      <c r="A104" s="197" t="s">
        <v>1014</v>
      </c>
      <c r="B104" s="104" t="s">
        <v>897</v>
      </c>
      <c r="C104" s="196" t="s">
        <v>1030</v>
      </c>
      <c r="D104" s="121" t="s">
        <v>894</v>
      </c>
      <c r="E104" s="122">
        <v>-0.05</v>
      </c>
      <c r="F104" s="122">
        <v>-0.23</v>
      </c>
      <c r="G104" s="122">
        <v>0.13</v>
      </c>
      <c r="H104" s="122"/>
      <c r="I104" s="122"/>
      <c r="J104" s="120">
        <v>0.59</v>
      </c>
      <c r="K104" s="120" t="s">
        <v>365</v>
      </c>
      <c r="L104" s="162" t="s">
        <v>901</v>
      </c>
    </row>
    <row r="105" spans="1:55" ht="45">
      <c r="A105" s="111" t="s">
        <v>984</v>
      </c>
      <c r="B105" s="106" t="s">
        <v>878</v>
      </c>
      <c r="C105" s="198" t="s">
        <v>1031</v>
      </c>
      <c r="D105" s="106" t="s">
        <v>879</v>
      </c>
      <c r="E105" s="126">
        <v>3.0630000000000002</v>
      </c>
      <c r="F105" s="126">
        <v>1.119</v>
      </c>
      <c r="G105" s="126">
        <v>8.3829999999999991</v>
      </c>
      <c r="H105" s="106"/>
      <c r="I105" s="106"/>
      <c r="J105" s="126">
        <v>0.05</v>
      </c>
      <c r="K105" s="106" t="s">
        <v>840</v>
      </c>
      <c r="L105" s="106" t="s">
        <v>889</v>
      </c>
    </row>
    <row r="106" spans="1:55" ht="45">
      <c r="A106" s="111" t="s">
        <v>1000</v>
      </c>
      <c r="B106" s="106" t="s">
        <v>878</v>
      </c>
      <c r="C106" s="101" t="s">
        <v>1032</v>
      </c>
      <c r="D106" s="93" t="s">
        <v>879</v>
      </c>
      <c r="E106" s="93">
        <v>1.119</v>
      </c>
      <c r="F106" s="93">
        <v>0.13200000000000001</v>
      </c>
      <c r="G106" s="93">
        <v>9.4979999999999993</v>
      </c>
      <c r="H106" s="93"/>
      <c r="I106" s="93"/>
      <c r="J106" s="93" t="s">
        <v>886</v>
      </c>
      <c r="K106" s="93" t="s">
        <v>840</v>
      </c>
      <c r="L106" s="106" t="s">
        <v>889</v>
      </c>
    </row>
    <row r="107" spans="1:55" ht="45">
      <c r="A107" s="145" t="s">
        <v>984</v>
      </c>
      <c r="B107" s="110" t="s">
        <v>885</v>
      </c>
      <c r="C107" s="101" t="s">
        <v>985</v>
      </c>
      <c r="D107" s="93" t="s">
        <v>894</v>
      </c>
      <c r="E107" s="95">
        <v>0.13</v>
      </c>
      <c r="F107" s="95">
        <f>E107-1.96*H107</f>
        <v>-9.1599999999999737E-3</v>
      </c>
      <c r="G107" s="95">
        <f>E107+1.96*H107</f>
        <v>0.26915999999999995</v>
      </c>
      <c r="H107" s="95">
        <v>7.0999999999999994E-2</v>
      </c>
      <c r="I107" s="95"/>
      <c r="J107" s="96">
        <v>0.1</v>
      </c>
      <c r="K107" s="96" t="s">
        <v>1033</v>
      </c>
      <c r="L107" s="92" t="s">
        <v>888</v>
      </c>
    </row>
    <row r="108" spans="1:55" ht="45">
      <c r="A108" s="145" t="s">
        <v>988</v>
      </c>
      <c r="B108" s="110" t="s">
        <v>885</v>
      </c>
      <c r="C108" s="101" t="s">
        <v>989</v>
      </c>
      <c r="D108" s="93" t="s">
        <v>894</v>
      </c>
      <c r="E108" s="95">
        <v>0.217</v>
      </c>
      <c r="F108" s="95">
        <f>E108-1.96*H108</f>
        <v>5.6279999999999997E-2</v>
      </c>
      <c r="G108" s="95">
        <f>E108+1.96*H108</f>
        <v>0.37772</v>
      </c>
      <c r="H108" s="95">
        <v>8.2000000000000003E-2</v>
      </c>
      <c r="I108" s="95"/>
      <c r="J108" s="96">
        <v>0.01</v>
      </c>
      <c r="K108" s="96" t="s">
        <v>1033</v>
      </c>
      <c r="L108" s="92" t="s">
        <v>888</v>
      </c>
    </row>
    <row r="109" spans="1:55" ht="45">
      <c r="A109" s="145" t="s">
        <v>984</v>
      </c>
      <c r="B109" s="110" t="s">
        <v>878</v>
      </c>
      <c r="C109" s="101" t="s">
        <v>985</v>
      </c>
      <c r="D109" s="93" t="s">
        <v>894</v>
      </c>
      <c r="E109" s="95">
        <v>0.159</v>
      </c>
      <c r="F109" s="95">
        <f t="shared" ref="F109" si="59">E109-1.96*H109</f>
        <v>0.10412</v>
      </c>
      <c r="G109" s="95">
        <f t="shared" ref="G109" si="60">E109+1.96*H109</f>
        <v>0.21388000000000001</v>
      </c>
      <c r="H109" s="95">
        <v>2.8000000000000001E-2</v>
      </c>
      <c r="I109" s="95"/>
      <c r="J109" s="96">
        <v>0.01</v>
      </c>
      <c r="K109" s="96" t="s">
        <v>1033</v>
      </c>
      <c r="L109" s="92" t="s">
        <v>893</v>
      </c>
    </row>
  </sheetData>
  <autoFilter ref="AM1:AS49" xr:uid="{3E040F9F-790F-47F2-B356-41B816E7F053}"/>
  <sortState xmlns:xlrd2="http://schemas.microsoft.com/office/spreadsheetml/2017/richdata2" ref="A2:M102">
    <sortCondition ref="A2:A102"/>
    <sortCondition ref="D2:D102"/>
    <sortCondition ref="J2:J102"/>
    <sortCondition descending="1" ref="E2:E102"/>
  </sortState>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16767-B548-4E53-B22E-D4D21F2E3654}">
  <sheetPr codeName="Sheet7"/>
  <dimension ref="A1:BA83"/>
  <sheetViews>
    <sheetView topLeftCell="AF1" workbookViewId="0">
      <selection activeCell="AJ4" sqref="AJ4"/>
    </sheetView>
  </sheetViews>
  <sheetFormatPr defaultRowHeight="15"/>
  <cols>
    <col min="1" max="1" width="19" style="10" customWidth="1"/>
    <col min="2" max="2" width="16.140625" customWidth="1"/>
    <col min="3" max="3" width="29.85546875" customWidth="1"/>
    <col min="11" max="11" width="17.28515625" style="7" customWidth="1"/>
    <col min="12" max="12" width="15.7109375" style="7" customWidth="1"/>
    <col min="17" max="17" width="17.140625" customWidth="1"/>
    <col min="18" max="18" width="20.140625" customWidth="1"/>
    <col min="21" max="21" width="25.28515625" customWidth="1"/>
    <col min="22" max="22" width="23.42578125" customWidth="1"/>
    <col min="26" max="26" width="15.7109375" customWidth="1"/>
    <col min="27" max="27" width="15.5703125" style="7" customWidth="1"/>
    <col min="28" max="28" width="12.42578125" style="7" customWidth="1"/>
    <col min="29" max="31" width="9.140625" style="7"/>
    <col min="32" max="32" width="37.140625" style="7" customWidth="1"/>
    <col min="33" max="33" width="25.28515625" style="7" customWidth="1"/>
    <col min="36" max="36" width="18.5703125" customWidth="1"/>
    <col min="37" max="38" width="13.140625" customWidth="1"/>
    <col min="39" max="39" width="12.85546875" customWidth="1"/>
    <col min="42" max="42" width="32.5703125" customWidth="1"/>
    <col min="43" max="43" width="22.140625" customWidth="1"/>
    <col min="48" max="48" width="10.85546875" customWidth="1"/>
    <col min="49" max="49" width="47.85546875" customWidth="1"/>
    <col min="50" max="50" width="13.7109375" customWidth="1"/>
    <col min="52" max="52" width="16.28515625" customWidth="1"/>
  </cols>
  <sheetData>
    <row r="1" spans="1:53" ht="75">
      <c r="A1" s="131" t="s">
        <v>857</v>
      </c>
      <c r="B1" s="131" t="s">
        <v>858</v>
      </c>
      <c r="C1" s="131" t="s">
        <v>859</v>
      </c>
      <c r="D1" s="131" t="s">
        <v>860</v>
      </c>
      <c r="E1" s="131" t="s">
        <v>861</v>
      </c>
      <c r="F1" s="131" t="s">
        <v>862</v>
      </c>
      <c r="G1" s="131" t="s">
        <v>863</v>
      </c>
      <c r="H1" s="131" t="s">
        <v>864</v>
      </c>
      <c r="I1" s="131" t="s">
        <v>865</v>
      </c>
      <c r="J1" s="131" t="s">
        <v>1034</v>
      </c>
      <c r="K1" s="131" t="s">
        <v>867</v>
      </c>
      <c r="L1" s="131" t="s">
        <v>868</v>
      </c>
      <c r="Q1" s="50" t="s">
        <v>946</v>
      </c>
      <c r="R1" s="49" t="s">
        <v>859</v>
      </c>
      <c r="S1" s="49" t="s">
        <v>860</v>
      </c>
      <c r="T1" s="49" t="s">
        <v>870</v>
      </c>
      <c r="U1" s="49" t="s">
        <v>867</v>
      </c>
      <c r="V1" s="49" t="s">
        <v>873</v>
      </c>
      <c r="Z1" s="50" t="s">
        <v>876</v>
      </c>
      <c r="AA1" s="49" t="s">
        <v>859</v>
      </c>
      <c r="AB1" s="49" t="s">
        <v>860</v>
      </c>
      <c r="AC1" s="49" t="s">
        <v>870</v>
      </c>
      <c r="AD1" s="49" t="s">
        <v>871</v>
      </c>
      <c r="AE1" s="49" t="s">
        <v>872</v>
      </c>
      <c r="AF1" s="49" t="s">
        <v>867</v>
      </c>
      <c r="AG1" s="49" t="s">
        <v>873</v>
      </c>
      <c r="AH1" s="49" t="s">
        <v>874</v>
      </c>
      <c r="AJ1" s="201" t="s">
        <v>922</v>
      </c>
      <c r="AK1" s="49" t="s">
        <v>859</v>
      </c>
      <c r="AL1" s="49" t="s">
        <v>860</v>
      </c>
      <c r="AM1" s="49" t="s">
        <v>870</v>
      </c>
      <c r="AN1" s="49" t="s">
        <v>871</v>
      </c>
      <c r="AO1" s="49" t="s">
        <v>872</v>
      </c>
      <c r="AP1" s="49" t="s">
        <v>867</v>
      </c>
      <c r="AQ1" s="49" t="s">
        <v>873</v>
      </c>
      <c r="AV1" s="6" t="str" cm="1">
        <f t="array" ref="AV1:AV14">_xlfn.UNIQUE(A2:A100)</f>
        <v>Year Trend</v>
      </c>
      <c r="AW1" s="6" t="str" cm="1">
        <f t="array" ref="AW1">INDEX($AV$1:$AV$100,INT((ROW(A1)-1)/3)+1)</f>
        <v>Year Trend</v>
      </c>
      <c r="AX1" s="6" t="str" cm="1">
        <f t="array" ref="AX1">INDEX({"OR","RRR","ME"},MOD(ROW(AH1)-1,3)+1)</f>
        <v>OR</v>
      </c>
      <c r="AZ1" s="1" t="str" cm="1">
        <f t="array" ref="AZ1">INDEX($AV$1:$AV$100,INT((ROW(A1)-1)/2)+1)</f>
        <v>Year Trend</v>
      </c>
      <c r="BA1" s="6" t="str" cm="1">
        <f t="array" ref="BA1">INDEX({"OR / RRR";"ME"}, MOD(ROW(X1)-1, 2)+1)</f>
        <v>OR / RRR</v>
      </c>
    </row>
    <row r="2" spans="1:53" ht="90">
      <c r="A2" s="106" t="s">
        <v>1035</v>
      </c>
      <c r="B2" s="106" t="s">
        <v>878</v>
      </c>
      <c r="C2" s="96" t="s">
        <v>1035</v>
      </c>
      <c r="D2" s="93" t="s">
        <v>891</v>
      </c>
      <c r="E2" s="95">
        <v>0.65900000000000003</v>
      </c>
      <c r="F2" s="95"/>
      <c r="G2" s="95"/>
      <c r="H2" s="95">
        <v>0.12</v>
      </c>
      <c r="I2" s="95"/>
      <c r="J2" s="118">
        <v>0.05</v>
      </c>
      <c r="K2" s="96" t="s">
        <v>987</v>
      </c>
      <c r="L2" s="119" t="s">
        <v>893</v>
      </c>
      <c r="R2" s="44" t="str">
        <f>AW1</f>
        <v>Year Trend</v>
      </c>
      <c r="S2" s="51" t="str">
        <f>AX1</f>
        <v>OR</v>
      </c>
      <c r="T2" s="51" t="str">
        <f>ROUND(_xlfn.MINIFS(E:E, A:A, R2, D:D, S2), 2) &amp; "-" &amp; ROUND(_xlfn.MAXIFS(E:E, A:A, R2, D:D, S2), 2)</f>
        <v>0,26-1,13</v>
      </c>
      <c r="U2" s="51" t="str" cm="1">
        <f t="array" ref="U2">_xlfn.TEXTJOIN(", ", TRUE, _xlfn.UNIQUE(_xlfn._xlws.FILTER(K$2:K$100, (A$2:A$100 = R2) * (D$2:D$100 = S2))))</f>
        <v>UK, USA (Medicare), The Netherlands, New Zealand, Norway, Sweden, UK, USA, Poland</v>
      </c>
      <c r="V2" s="51" t="str" cm="1">
        <f t="array" ref="V2">_xlfn.TEXTJOIN(", ", TRUE, _xlfn.UNIQUE(IF((A$2:A$100 = R2) * (D$2:D$100 = S2), L$2:L$100, "")))</f>
        <v>(H. Dakin, Devlin, Feng, Rice, O’Neill, et al., 2015), (Chambers et al., 2015), (Draborg &amp; Andersen, 2006), (Kawalec et al., 2018)</v>
      </c>
      <c r="AA2" s="44" t="str">
        <f t="shared" ref="AA2:AA43" si="0">AW1</f>
        <v>Year Trend</v>
      </c>
      <c r="AB2" s="51" t="str">
        <f t="shared" ref="AB2:AB43" si="1">AX1</f>
        <v>OR</v>
      </c>
      <c r="AC2" s="194" t="str">
        <f>IF(AD2=AE2, IF(AD2=0, "NO DATA", ROUND(AD2, 2)), ROUND(AD2, 2) &amp; "-" &amp; ROUND(AE2, 2))</f>
        <v>0,26-0,36</v>
      </c>
      <c r="AD2" s="51">
        <f>IF(_xlfn.MINIFS(E:E, A:A, AA2, D:D, AB2, J:J, "&lt;=0,050")=0, "NA", _xlfn.MINIFS(E:E, A:A, AA2, D:D, AB2, J:J, "&lt;=0,050"))</f>
        <v>0.26200000000000001</v>
      </c>
      <c r="AE2" s="51">
        <f>IF(_xlfn.MAXIFS(E:E, A:A, AA2, D:D, AB2, J:J, "&lt;=0,050")=0, "NA", _xlfn.MAXIFS(E:E, A:A, AA2, D:D, AB2, J:J, "&lt;=0,050"))</f>
        <v>0.36</v>
      </c>
      <c r="AF2" s="51" t="str" cm="1">
        <f t="array" ref="AF2">IFERROR(_xlfn.TEXTJOIN(", ", TRUE, _xlfn.UNIQUE(_xlfn._xlws.FILTER(K$2:K$100, (A$2:A$100 = AA2) * (D$2:D$100 = AB2) * (J$2:J$100 &lt;= 0.05)))), "")</f>
        <v>USA (Medicare), The Netherlands, New Zealand, Norway, Sweden, UK, USA</v>
      </c>
      <c r="AG2" s="51" t="str" cm="1">
        <f t="array" ref="AG2">_xlfn.TEXTJOIN(", ", TRUE, _xlfn.UNIQUE(IF((A$2:A$100 = AA2) * (D$2:D$100 = AB2) * ((J$2:J$100 &lt;= 0.05)), L$2:L$100, "")))</f>
        <v>(Chambers et al., 2015), (Draborg &amp; Andersen, 2006)</v>
      </c>
      <c r="AH2" s="51" t="str">
        <f>IF(OR(AB2="OR", AB2="RRR"), "OR / RRR", AB2)</f>
        <v>OR / RRR</v>
      </c>
      <c r="AK2" s="44" t="str">
        <f>AZ1</f>
        <v>Year Trend</v>
      </c>
      <c r="AL2" s="46" t="str">
        <f>BA1</f>
        <v>OR / RRR</v>
      </c>
      <c r="AM2" s="194" t="str">
        <f>IF(AN2=AO2, IF(AN2=0, "NO DATA", ROUND(AN2, 2)), ROUND(AN2, 2) &amp; "-" &amp; ROUND(AO2, 2))</f>
        <v>0,26-0,66</v>
      </c>
      <c r="AN2" s="200">
        <f>_xlfn.MINIFS(AD:AD, AA:AA, AK2, AH:AH, AL2)</f>
        <v>0.26200000000000001</v>
      </c>
      <c r="AO2" s="46">
        <f>_xlfn.MAXIFS(AE:AE, AA:AA, AK2, AH:AH, AL2)</f>
        <v>0.65900000000000003</v>
      </c>
      <c r="AP2" s="51" t="str" cm="1">
        <f t="array" ref="AP2">_xlfn.TEXTJOIN(", ", TRUE, _xlfn.UNIQUE(IF((AA$2:AA$100 = AK2) * (AH$2:AH$100 = AL2), AF$2:AF$100, "")))</f>
        <v>USA (Medicare), The Netherlands, New Zealand, Norway, Sweden, UK, USA, Australia, Canada-(CADTH), Canada-(INESSS), England, France-(HAS), Germany, Scotland, Sweden, UK</v>
      </c>
      <c r="AQ2" s="51" t="str" cm="1">
        <f t="array" ref="AQ2">_xlfn.TEXTJOIN(", ", TRUE, _xlfn.UNIQUE(IF((AA$2:AA$100 = AK2) * (AH$2:AH$100 = AL2), AG$2:AG$100, "")))</f>
        <v>(Chambers et al., 2015), (Draborg &amp; Andersen, 2006), (Kanavos et al., 2023), (Cerri, Knapp, &amp; Fernandez, 2014b)</v>
      </c>
      <c r="AV2" s="6" t="str">
        <v>Pre and Post Policy Change</v>
      </c>
      <c r="AW2" s="6" t="str" cm="1">
        <f t="array" ref="AW2">INDEX($AV$1:$AV$100,INT((ROW(A2)-1)/3)+1)</f>
        <v>Year Trend</v>
      </c>
      <c r="AX2" s="6" t="str" cm="1">
        <f t="array" ref="AX2">INDEX({"OR","RRR","ME"},MOD(ROW(AH2)-1,3)+1)</f>
        <v>RRR</v>
      </c>
      <c r="AZ2" s="1" t="str" cm="1">
        <f t="array" ref="AZ2">INDEX($AV$1:$AV$100,INT((ROW(A2)-1)/2)+1)</f>
        <v>Year Trend</v>
      </c>
      <c r="BA2" s="6" t="str" cm="1">
        <f t="array" ref="BA2">INDEX({"OR / RRR";"ME"}, MOD(ROW(X2)-1, 2)+1)</f>
        <v>ME</v>
      </c>
    </row>
    <row r="3" spans="1:53" ht="76.5" customHeight="1">
      <c r="A3" s="106" t="s">
        <v>1035</v>
      </c>
      <c r="B3" s="106" t="s">
        <v>878</v>
      </c>
      <c r="C3" s="96" t="s">
        <v>1035</v>
      </c>
      <c r="D3" s="93" t="s">
        <v>879</v>
      </c>
      <c r="E3" s="95">
        <v>1.1339999999999999</v>
      </c>
      <c r="F3" s="95">
        <v>0.94699999999999995</v>
      </c>
      <c r="G3" s="95">
        <v>1.357</v>
      </c>
      <c r="H3" s="95"/>
      <c r="I3" s="95"/>
      <c r="J3" s="96" t="s">
        <v>886</v>
      </c>
      <c r="K3" s="96" t="s">
        <v>840</v>
      </c>
      <c r="L3" s="92" t="s">
        <v>889</v>
      </c>
      <c r="R3" s="44" t="str">
        <f>AW2</f>
        <v>Year Trend</v>
      </c>
      <c r="S3" s="51" t="str">
        <f t="shared" ref="S3:S43" si="2">AX2</f>
        <v>RRR</v>
      </c>
      <c r="T3" s="51" t="str">
        <f>ROUND(_xlfn.MINIFS(E:E, A:A, R3, D:D, S3), 2) &amp; "-" &amp; ROUND(_xlfn.MAXIFS(E:E, A:A, R3, D:D, S3), 2)</f>
        <v>0,51-1,03</v>
      </c>
      <c r="U3" s="51" t="str" cm="1">
        <f t="array" ref="U3">_xlfn.TEXTJOIN(", ", TRUE, _xlfn.UNIQUE(_xlfn._xlws.FILTER(K$2:K$100, (A$2:A$100 = R3) * (D$2:D$100 = S3))))</f>
        <v>Australia, Canada-(CADTH), Canada-(INESSS), England, France-(HAS), Germany, Scotland, Sweden, UK</v>
      </c>
      <c r="V3" s="51" t="str" cm="1">
        <f t="array" ref="V3">_xlfn.TEXTJOIN(", ", TRUE, _xlfn.UNIQUE(IF((A$2:A$100 = R3) * (D$2:D$100 = S3), L$2:L$100, "")))</f>
        <v>(Kanavos et al., 2023), (Cerri, Knapp, &amp; Fernandez, 2014b), (H. A. Dakin et al., 2006)</v>
      </c>
      <c r="AA3" s="44" t="str">
        <f t="shared" si="0"/>
        <v>Year Trend</v>
      </c>
      <c r="AB3" s="51" t="str">
        <f t="shared" si="1"/>
        <v>RRR</v>
      </c>
      <c r="AC3" s="194" t="str">
        <f t="shared" ref="AC3:AC43" si="3">IF(AD3=AE3, IF(AD3=0, "NO DATA", ROUND(AD3, 2)), ROUND(AD3, 2) &amp; "-" &amp; ROUND(AE3, 2))</f>
        <v>0,51-0,66</v>
      </c>
      <c r="AD3" s="51">
        <f t="shared" ref="AD3:AD43" si="4">IF(_xlfn.MINIFS(E:E, A:A, AA3, D:D, AB3, J:J, "&lt;=0,050")=0, "NA", _xlfn.MINIFS(E:E, A:A, AA3, D:D, AB3, J:J, "&lt;=0,050"))</f>
        <v>0.51170857778654244</v>
      </c>
      <c r="AE3" s="51">
        <f t="shared" ref="AE3:AE43" si="5">IF(_xlfn.MAXIFS(E:E, A:A, AA3, D:D, AB3, J:J, "&lt;=0,050")=0, "NA", _xlfn.MAXIFS(E:E, A:A, AA3, D:D, AB3, J:J, "&lt;=0,050"))</f>
        <v>0.65900000000000003</v>
      </c>
      <c r="AF3" s="51" t="str" cm="1">
        <f t="array" ref="AF3">IFERROR(_xlfn.TEXTJOIN(", ", TRUE, _xlfn.UNIQUE(_xlfn._xlws.FILTER(K$2:K$100, (A$2:A$100 = AA3) * (D$2:D$100 = AB3) * (J$2:J$100 &lt;= 0.05)))), "")</f>
        <v>Australia, Canada-(CADTH), Canada-(INESSS), England, France-(HAS), Germany, Scotland, Sweden, UK</v>
      </c>
      <c r="AG3" s="51" t="str" cm="1">
        <f t="array" ref="AG3">_xlfn.TEXTJOIN(", ", TRUE, _xlfn.UNIQUE(IF((A$2:A$100 = AA3) * (D$2:D$100 = AB3) * ((J$2:J$100 &lt;= 0.05)), L$2:L$100, "")))</f>
        <v>(Kanavos et al., 2023), (Cerri, Knapp, &amp; Fernandez, 2014b)</v>
      </c>
      <c r="AH3" s="51" t="str">
        <f t="shared" ref="AH3:AH43" si="6">IF(OR(AB3="OR", AB3="RRR"), "OR / RRR", AB3)</f>
        <v>OR / RRR</v>
      </c>
      <c r="AK3" s="44" t="str">
        <f t="shared" ref="AK3:AK11" si="7">AZ2</f>
        <v>Year Trend</v>
      </c>
      <c r="AL3" s="46" t="str">
        <f t="shared" ref="AL3:AL11" si="8">BA2</f>
        <v>ME</v>
      </c>
      <c r="AM3" s="194" t="str">
        <f t="shared" ref="AM3:AM11" si="9">IF(AN3=AO3, IF(AN3=0, "NO DATA", ROUND(AN3, 2)), ROUND(AN3, 2) &amp; "-" &amp; ROUND(AO3, 2))</f>
        <v>NO DATA</v>
      </c>
      <c r="AN3" s="200">
        <f t="shared" ref="AN3:AN11" si="10">_xlfn.MINIFS(AD:AD, AA:AA, AK3, AH:AH, AL3)</f>
        <v>0</v>
      </c>
      <c r="AO3" s="46">
        <f t="shared" ref="AO3:AO11" si="11">_xlfn.MAXIFS(AE:AE, AA:AA, AK3, AH:AH, AL3)</f>
        <v>0</v>
      </c>
      <c r="AP3" s="51" t="str" cm="1">
        <f t="array" ref="AP3">_xlfn.TEXTJOIN(", ", TRUE, _xlfn.UNIQUE(IF((AA$2:AA$100 = AK3) * (AH$2:AH$100 = AL3), AF$2:AF$100, "")))</f>
        <v/>
      </c>
      <c r="AQ3" s="51" t="str" cm="1">
        <f t="array" ref="AQ3">_xlfn.TEXTJOIN(", ", TRUE, _xlfn.UNIQUE(IF((AA$2:AA$100 = AK3) * (AH$2:AH$100 = AL3), AG$2:AG$100, "")))</f>
        <v/>
      </c>
      <c r="AV3" s="6" t="str">
        <v>External Assesor</v>
      </c>
      <c r="AW3" s="6" t="str" cm="1">
        <f t="array" ref="AW3">INDEX($AV$1:$AV$100,INT((ROW(A3)-1)/3)+1)</f>
        <v>Year Trend</v>
      </c>
      <c r="AX3" s="6" t="str" cm="1">
        <f t="array" ref="AX3">INDEX({"OR","RRR","ME"},MOD(ROW(AH3)-1,3)+1)</f>
        <v>ME</v>
      </c>
      <c r="AZ3" s="1" t="str" cm="1">
        <f t="array" ref="AZ3">INDEX($AV$1:$AV$100,INT((ROW(A3)-1)/2)+1)</f>
        <v>Pre and Post Policy Change</v>
      </c>
      <c r="BA3" s="6" t="str" cm="1">
        <f t="array" ref="BA3">INDEX({"OR / RRR";"ME"}, MOD(ROW(X3)-1, 2)+1)</f>
        <v>OR / RRR</v>
      </c>
    </row>
    <row r="4" spans="1:53" ht="60">
      <c r="A4" s="106" t="s">
        <v>1035</v>
      </c>
      <c r="B4" s="106" t="s">
        <v>949</v>
      </c>
      <c r="C4" s="120" t="s">
        <v>1036</v>
      </c>
      <c r="D4" s="121" t="s">
        <v>891</v>
      </c>
      <c r="E4" s="122">
        <f>1/EXP(0.67)</f>
        <v>0.51170857778654244</v>
      </c>
      <c r="F4" s="122">
        <f>1/EXP(1.27)</f>
        <v>0.28083162177837978</v>
      </c>
      <c r="G4" s="122">
        <f>1/EXP(0.07)</f>
        <v>0.93239381990594816</v>
      </c>
      <c r="H4" s="122"/>
      <c r="I4" s="122"/>
      <c r="J4" s="120">
        <v>0.03</v>
      </c>
      <c r="K4" s="120" t="s">
        <v>840</v>
      </c>
      <c r="L4" s="138" t="s">
        <v>1037</v>
      </c>
      <c r="R4" s="44" t="str">
        <f>AW3</f>
        <v>Year Trend</v>
      </c>
      <c r="S4" s="51" t="str">
        <f t="shared" si="2"/>
        <v>ME</v>
      </c>
      <c r="T4" s="51" t="str">
        <f t="shared" ref="T4:T43" si="12">ROUND(_xlfn.MINIFS(E:E, A:A, R4, D:D, S4), 2) &amp; "-" &amp; ROUND(_xlfn.MAXIFS(E:E, A:A, R4, D:D, S4), 2)</f>
        <v>0-0</v>
      </c>
      <c r="U4" s="51" t="e" cm="1" vm="1">
        <f t="array" ref="U4">_xlfn.TEXTJOIN(", ", TRUE, _xlfn.UNIQUE(_xlfn._xlws.FILTER(K$2:K$100, (A$2:A$100 = R4) * (D$2:D$100 = S4))))</f>
        <v>#VALUE!</v>
      </c>
      <c r="V4" s="51" t="str" cm="1">
        <f t="array" ref="V4">_xlfn.TEXTJOIN(", ", TRUE, _xlfn.UNIQUE(IF((A$2:A$100 = R4) * (D$2:D$100 = S4), L$2:L$100, "")))</f>
        <v/>
      </c>
      <c r="AA4" s="44" t="str">
        <f t="shared" si="0"/>
        <v>Year Trend</v>
      </c>
      <c r="AB4" s="51" t="str">
        <f t="shared" si="1"/>
        <v>ME</v>
      </c>
      <c r="AC4" s="194" t="e">
        <f t="shared" si="3"/>
        <v>#VALUE!</v>
      </c>
      <c r="AD4" s="51" t="str">
        <f t="shared" si="4"/>
        <v>NA</v>
      </c>
      <c r="AE4" s="51" t="str">
        <f t="shared" si="5"/>
        <v>NA</v>
      </c>
      <c r="AF4" s="51" t="str" cm="1">
        <f t="array" ref="AF4">IFERROR(_xlfn.TEXTJOIN(", ", TRUE, _xlfn.UNIQUE(_xlfn._xlws.FILTER(K$2:K$100, (A$2:A$100 = AA4) * (D$2:D$100 = AB4) * (J$2:J$100 &lt;= 0.05)))), "")</f>
        <v/>
      </c>
      <c r="AG4" s="51" t="str" cm="1">
        <f t="array" ref="AG4">_xlfn.TEXTJOIN(", ", TRUE, _xlfn.UNIQUE(IF((A$2:A$100 = AA4) * (D$2:D$100 = AB4) * ((J$2:J$100 &lt;= 0.05)), L$2:L$100, "")))</f>
        <v/>
      </c>
      <c r="AH4" s="51" t="str">
        <f t="shared" si="6"/>
        <v>ME</v>
      </c>
      <c r="AK4" s="44" t="str">
        <f t="shared" si="7"/>
        <v>Pre and Post Policy Change</v>
      </c>
      <c r="AL4" s="46" t="str">
        <f t="shared" si="8"/>
        <v>OR / RRR</v>
      </c>
      <c r="AM4" s="194" t="str">
        <f t="shared" si="9"/>
        <v>NO DATA</v>
      </c>
      <c r="AN4" s="200">
        <f t="shared" si="10"/>
        <v>0</v>
      </c>
      <c r="AO4" s="46">
        <f t="shared" si="11"/>
        <v>0</v>
      </c>
      <c r="AP4" s="51" t="str" cm="1">
        <f t="array" ref="AP4">_xlfn.TEXTJOIN(", ", TRUE, _xlfn.UNIQUE(IF((AA$2:AA$100 = AK4) * (AH$2:AH$100 = AL4), AF$2:AF$100, "")))</f>
        <v/>
      </c>
      <c r="AQ4" s="51" t="str" cm="1">
        <f t="array" ref="AQ4">_xlfn.TEXTJOIN(", ", TRUE, _xlfn.UNIQUE(IF((AA$2:AA$100 = AK4) * (AH$2:AH$100 = AL4), AG$2:AG$100, "")))</f>
        <v/>
      </c>
      <c r="AV4" s="6" t="str">
        <v>COVID19</v>
      </c>
      <c r="AW4" s="6" t="str" cm="1">
        <f t="array" ref="AW4">INDEX($AV$1:$AV$100,INT((ROW(A4)-1)/3)+1)</f>
        <v>Pre and Post Policy Change</v>
      </c>
      <c r="AX4" s="6" t="str" cm="1">
        <f t="array" ref="AX4">INDEX({"OR","RRR","ME"},MOD(ROW(AH4)-1,3)+1)</f>
        <v>OR</v>
      </c>
      <c r="AZ4" s="1" t="str" cm="1">
        <f t="array" ref="AZ4">INDEX($AV$1:$AV$100,INT((ROW(A4)-1)/2)+1)</f>
        <v>Pre and Post Policy Change</v>
      </c>
      <c r="BA4" s="6" t="str" cm="1">
        <f t="array" ref="BA4">INDEX({"OR / RRR";"ME"}, MOD(ROW(X4)-1, 2)+1)</f>
        <v>ME</v>
      </c>
    </row>
    <row r="5" spans="1:53" ht="45">
      <c r="A5" s="111" t="s">
        <v>1035</v>
      </c>
      <c r="B5" s="106" t="s">
        <v>914</v>
      </c>
      <c r="C5" s="96" t="s">
        <v>1035</v>
      </c>
      <c r="D5" s="93" t="s">
        <v>891</v>
      </c>
      <c r="E5" s="95">
        <f>1/EXP(-0.029)</f>
        <v>1.0294245944751308</v>
      </c>
      <c r="F5" s="95">
        <f>1/EXP(0.05)</f>
        <v>0.9512294245007139</v>
      </c>
      <c r="G5" s="95">
        <f>1/EXP(-0.108)</f>
        <v>1.1140477453864677</v>
      </c>
      <c r="H5" s="95"/>
      <c r="I5" s="95"/>
      <c r="J5" s="96">
        <v>0.47699999999999998</v>
      </c>
      <c r="K5" s="96" t="s">
        <v>840</v>
      </c>
      <c r="L5" s="92" t="s">
        <v>916</v>
      </c>
      <c r="R5" s="44" t="str">
        <f t="shared" ref="R5:R43" si="13">AW4</f>
        <v>Pre and Post Policy Change</v>
      </c>
      <c r="S5" s="51" t="str">
        <f t="shared" si="2"/>
        <v>OR</v>
      </c>
      <c r="T5" s="51" t="str">
        <f t="shared" si="12"/>
        <v>0,41-0,41</v>
      </c>
      <c r="U5" s="51" t="str" cm="1">
        <f t="array" ref="U5">_xlfn.TEXTJOIN(", ", TRUE, _xlfn.UNIQUE(_xlfn._xlws.FILTER(K$2:K$100, (A$2:A$100 = R5) * (D$2:D$100 = S5))))</f>
        <v>South Korean</v>
      </c>
      <c r="V5" s="51" t="str" cm="1">
        <f t="array" ref="V5">_xlfn.TEXTJOIN(", ", TRUE, _xlfn.UNIQUE(IF((A$2:A$100 = R5) * (D$2:D$100 = S5), L$2:L$100, "")))</f>
        <v>(Bae et al., 2018)</v>
      </c>
      <c r="AA5" s="44" t="str">
        <f t="shared" si="0"/>
        <v>Pre and Post Policy Change</v>
      </c>
      <c r="AB5" s="51" t="str">
        <f t="shared" si="1"/>
        <v>OR</v>
      </c>
      <c r="AC5" s="194" t="e">
        <f t="shared" si="3"/>
        <v>#VALUE!</v>
      </c>
      <c r="AD5" s="51" t="str">
        <f t="shared" si="4"/>
        <v>NA</v>
      </c>
      <c r="AE5" s="51" t="str">
        <f t="shared" si="5"/>
        <v>NA</v>
      </c>
      <c r="AF5" s="51" t="str" cm="1">
        <f t="array" ref="AF5">IFERROR(_xlfn.TEXTJOIN(", ", TRUE, _xlfn.UNIQUE(_xlfn._xlws.FILTER(K$2:K$100, (A$2:A$100 = AA5) * (D$2:D$100 = AB5) * (J$2:J$100 &lt;= 0.05)))), "")</f>
        <v/>
      </c>
      <c r="AG5" s="51" t="str" cm="1">
        <f t="array" ref="AG5">_xlfn.TEXTJOIN(", ", TRUE, _xlfn.UNIQUE(IF((A$2:A$100 = AA5) * (D$2:D$100 = AB5) * ((J$2:J$100 &lt;= 0.05)), L$2:L$100, "")))</f>
        <v/>
      </c>
      <c r="AH5" s="51" t="str">
        <f t="shared" si="6"/>
        <v>OR / RRR</v>
      </c>
      <c r="AK5" s="44" t="str">
        <f t="shared" si="7"/>
        <v>Pre and Post Policy Change</v>
      </c>
      <c r="AL5" s="46" t="str">
        <f t="shared" si="8"/>
        <v>ME</v>
      </c>
      <c r="AM5" s="194" t="str">
        <f t="shared" si="9"/>
        <v>NO DATA</v>
      </c>
      <c r="AN5" s="200">
        <f t="shared" si="10"/>
        <v>0</v>
      </c>
      <c r="AO5" s="46">
        <f t="shared" si="11"/>
        <v>0</v>
      </c>
      <c r="AP5" s="51" t="str" cm="1">
        <f t="array" ref="AP5">_xlfn.TEXTJOIN(", ", TRUE, _xlfn.UNIQUE(IF((AA$2:AA$100 = AK5) * (AH$2:AH$100 = AL5), AF$2:AF$100, "")))</f>
        <v/>
      </c>
      <c r="AQ5" s="51" t="str" cm="1">
        <f t="array" ref="AQ5">_xlfn.TEXTJOIN(", ", TRUE, _xlfn.UNIQUE(IF((AA$2:AA$100 = AK5) * (AH$2:AH$100 = AL5), AG$2:AG$100, "")))</f>
        <v/>
      </c>
      <c r="AV5" s="6" t="str">
        <v>Election year</v>
      </c>
      <c r="AW5" s="6" t="str" cm="1">
        <f t="array" ref="AW5">INDEX($AV$1:$AV$100,INT((ROW(A5)-1)/3)+1)</f>
        <v>Pre and Post Policy Change</v>
      </c>
      <c r="AX5" s="6" t="str" cm="1">
        <f t="array" ref="AX5">INDEX({"OR","RRR","ME"},MOD(ROW(AH5)-1,3)+1)</f>
        <v>RRR</v>
      </c>
      <c r="AZ5" s="1" t="str" cm="1">
        <f t="array" ref="AZ5">INDEX($AV$1:$AV$100,INT((ROW(A5)-1)/2)+1)</f>
        <v>External Assesor</v>
      </c>
      <c r="BA5" s="6" t="str" cm="1">
        <f t="array" ref="BA5">INDEX({"OR / RRR";"ME"}, MOD(ROW(X5)-1, 2)+1)</f>
        <v>OR / RRR</v>
      </c>
    </row>
    <row r="6" spans="1:53" ht="45">
      <c r="A6" s="107" t="s">
        <v>1035</v>
      </c>
      <c r="B6" s="108" t="s">
        <v>897</v>
      </c>
      <c r="C6" s="113" t="s">
        <v>1038</v>
      </c>
      <c r="D6" s="114" t="s">
        <v>879</v>
      </c>
      <c r="E6" s="115">
        <v>0.28199999999999997</v>
      </c>
      <c r="F6" s="115"/>
      <c r="G6" s="115"/>
      <c r="H6" s="115"/>
      <c r="I6" s="115"/>
      <c r="J6" s="116">
        <v>0.01</v>
      </c>
      <c r="K6" s="113" t="s">
        <v>1039</v>
      </c>
      <c r="L6" s="117" t="s">
        <v>1040</v>
      </c>
      <c r="R6" s="44" t="str">
        <f t="shared" si="13"/>
        <v>Pre and Post Policy Change</v>
      </c>
      <c r="S6" s="51" t="str">
        <f t="shared" si="2"/>
        <v>RRR</v>
      </c>
      <c r="T6" s="51" t="str">
        <f t="shared" si="12"/>
        <v>0-0</v>
      </c>
      <c r="U6" s="51" t="e" cm="1" vm="1">
        <f t="array" ref="U6">_xlfn.TEXTJOIN(", ", TRUE, _xlfn.UNIQUE(_xlfn._xlws.FILTER(K$2:K$100, (A$2:A$100 = R6) * (D$2:D$100 = S6))))</f>
        <v>#VALUE!</v>
      </c>
      <c r="V6" s="51" t="str" cm="1">
        <f t="array" ref="V6">_xlfn.TEXTJOIN(", ", TRUE, _xlfn.UNIQUE(IF((A$2:A$100 = R6) * (D$2:D$100 = S6), L$2:L$100, "")))</f>
        <v/>
      </c>
      <c r="AA6" s="44" t="str">
        <f t="shared" si="0"/>
        <v>Pre and Post Policy Change</v>
      </c>
      <c r="AB6" s="51" t="str">
        <f t="shared" si="1"/>
        <v>RRR</v>
      </c>
      <c r="AC6" s="194" t="e">
        <f t="shared" si="3"/>
        <v>#VALUE!</v>
      </c>
      <c r="AD6" s="51" t="str">
        <f t="shared" si="4"/>
        <v>NA</v>
      </c>
      <c r="AE6" s="51" t="str">
        <f t="shared" si="5"/>
        <v>NA</v>
      </c>
      <c r="AF6" s="51" t="str" cm="1">
        <f t="array" ref="AF6">IFERROR(_xlfn.TEXTJOIN(", ", TRUE, _xlfn.UNIQUE(_xlfn._xlws.FILTER(K$2:K$100, (A$2:A$100 = AA6) * (D$2:D$100 = AB6) * (J$2:J$100 &lt;= 0.05)))), "")</f>
        <v/>
      </c>
      <c r="AG6" s="51" t="str" cm="1">
        <f t="array" ref="AG6">_xlfn.TEXTJOIN(", ", TRUE, _xlfn.UNIQUE(IF((A$2:A$100 = AA6) * (D$2:D$100 = AB6) * ((J$2:J$100 &lt;= 0.05)), L$2:L$100, "")))</f>
        <v/>
      </c>
      <c r="AH6" s="51" t="str">
        <f t="shared" si="6"/>
        <v>OR / RRR</v>
      </c>
      <c r="AK6" s="44" t="str">
        <f t="shared" si="7"/>
        <v>External Assesor</v>
      </c>
      <c r="AL6" s="46" t="str">
        <f t="shared" si="8"/>
        <v>OR / RRR</v>
      </c>
      <c r="AM6" s="194" t="str">
        <f t="shared" si="9"/>
        <v>NO DATA</v>
      </c>
      <c r="AN6" s="200">
        <f t="shared" si="10"/>
        <v>0</v>
      </c>
      <c r="AO6" s="46">
        <f t="shared" si="11"/>
        <v>0</v>
      </c>
      <c r="AP6" s="51" t="str" cm="1">
        <f t="array" ref="AP6">_xlfn.TEXTJOIN(", ", TRUE, _xlfn.UNIQUE(IF((AA$2:AA$100 = AK6) * (AH$2:AH$100 = AL6), AF$2:AF$100, "")))</f>
        <v/>
      </c>
      <c r="AQ6" s="51" t="str" cm="1">
        <f t="array" ref="AQ6">_xlfn.TEXTJOIN(", ", TRUE, _xlfn.UNIQUE(IF((AA$2:AA$100 = AK6) * (AH$2:AH$100 = AL6), AG$2:AG$100, "")))</f>
        <v/>
      </c>
      <c r="AV6" s="6">
        <v>0</v>
      </c>
      <c r="AW6" s="6" t="str" cm="1">
        <f t="array" ref="AW6">INDEX($AV$1:$AV$100,INT((ROW(A6)-1)/3)+1)</f>
        <v>Pre and Post Policy Change</v>
      </c>
      <c r="AX6" s="6" t="str" cm="1">
        <f t="array" ref="AX6">INDEX({"OR","RRR","ME"},MOD(ROW(AH6)-1,3)+1)</f>
        <v>ME</v>
      </c>
      <c r="AZ6" s="1" t="str" cm="1">
        <f t="array" ref="AZ6">INDEX($AV$1:$AV$100,INT((ROW(A6)-1)/2)+1)</f>
        <v>External Assesor</v>
      </c>
      <c r="BA6" s="6" t="str" cm="1">
        <f t="array" ref="BA6">INDEX({"OR / RRR";"ME"}, MOD(ROW(X6)-1, 2)+1)</f>
        <v>ME</v>
      </c>
    </row>
    <row r="7" spans="1:53" ht="45">
      <c r="A7" s="107" t="s">
        <v>1035</v>
      </c>
      <c r="B7" s="108" t="s">
        <v>897</v>
      </c>
      <c r="C7" s="96" t="s">
        <v>1041</v>
      </c>
      <c r="D7" s="93" t="s">
        <v>879</v>
      </c>
      <c r="E7" s="95">
        <v>0.33</v>
      </c>
      <c r="F7" s="95"/>
      <c r="G7" s="95"/>
      <c r="H7" s="95"/>
      <c r="I7" s="95"/>
      <c r="J7" s="118">
        <v>0.05</v>
      </c>
      <c r="K7" s="96" t="s">
        <v>1039</v>
      </c>
      <c r="L7" s="119" t="s">
        <v>1040</v>
      </c>
      <c r="R7" s="44" t="str">
        <f t="shared" si="13"/>
        <v>Pre and Post Policy Change</v>
      </c>
      <c r="S7" s="51" t="str">
        <f t="shared" si="2"/>
        <v>ME</v>
      </c>
      <c r="T7" s="51" t="str">
        <f t="shared" si="12"/>
        <v>0-0</v>
      </c>
      <c r="U7" s="51" t="e" cm="1" vm="1">
        <f t="array" ref="U7">_xlfn.TEXTJOIN(", ", TRUE, _xlfn.UNIQUE(_xlfn._xlws.FILTER(K$2:K$100, (A$2:A$100 = R7) * (D$2:D$100 = S7))))</f>
        <v>#VALUE!</v>
      </c>
      <c r="V7" s="51" t="str" cm="1">
        <f t="array" ref="V7">_xlfn.TEXTJOIN(", ", TRUE, _xlfn.UNIQUE(IF((A$2:A$100 = R7) * (D$2:D$100 = S7), L$2:L$100, "")))</f>
        <v/>
      </c>
      <c r="AA7" s="44" t="str">
        <f t="shared" si="0"/>
        <v>Pre and Post Policy Change</v>
      </c>
      <c r="AB7" s="51" t="str">
        <f t="shared" si="1"/>
        <v>ME</v>
      </c>
      <c r="AC7" s="194" t="e">
        <f t="shared" si="3"/>
        <v>#VALUE!</v>
      </c>
      <c r="AD7" s="51" t="str">
        <f t="shared" si="4"/>
        <v>NA</v>
      </c>
      <c r="AE7" s="51" t="str">
        <f t="shared" si="5"/>
        <v>NA</v>
      </c>
      <c r="AF7" s="51" t="str" cm="1">
        <f t="array" ref="AF7">IFERROR(_xlfn.TEXTJOIN(", ", TRUE, _xlfn.UNIQUE(_xlfn._xlws.FILTER(K$2:K$100, (A$2:A$100 = AA7) * (D$2:D$100 = AB7) * (J$2:J$100 &lt;= 0.05)))), "")</f>
        <v/>
      </c>
      <c r="AG7" s="51" t="str" cm="1">
        <f t="array" ref="AG7">_xlfn.TEXTJOIN(", ", TRUE, _xlfn.UNIQUE(IF((A$2:A$100 = AA7) * (D$2:D$100 = AB7) * ((J$2:J$100 &lt;= 0.05)), L$2:L$100, "")))</f>
        <v/>
      </c>
      <c r="AH7" s="51" t="str">
        <f t="shared" si="6"/>
        <v>ME</v>
      </c>
      <c r="AK7" s="44" t="str">
        <f t="shared" si="7"/>
        <v>External Assesor</v>
      </c>
      <c r="AL7" s="46" t="str">
        <f t="shared" si="8"/>
        <v>ME</v>
      </c>
      <c r="AM7" s="194" t="str">
        <f t="shared" si="9"/>
        <v>NO DATA</v>
      </c>
      <c r="AN7" s="200">
        <f t="shared" si="10"/>
        <v>0</v>
      </c>
      <c r="AO7" s="46">
        <f t="shared" si="11"/>
        <v>0</v>
      </c>
      <c r="AP7" s="51" t="str" cm="1">
        <f t="array" ref="AP7">_xlfn.TEXTJOIN(", ", TRUE, _xlfn.UNIQUE(IF((AA$2:AA$100 = AK7) * (AH$2:AH$100 = AL7), AF$2:AF$100, "")))</f>
        <v/>
      </c>
      <c r="AQ7" s="51" t="str" cm="1">
        <f t="array" ref="AQ7">_xlfn.TEXTJOIN(", ", TRUE, _xlfn.UNIQUE(IF((AA$2:AA$100 = AK7) * (AH$2:AH$100 = AL7), AG$2:AG$100, "")))</f>
        <v/>
      </c>
      <c r="AV7" s="6" t="str">
        <v>Big Company Submission</v>
      </c>
      <c r="AW7" s="6" t="str" cm="1">
        <f t="array" ref="AW7">INDEX($AV$1:$AV$100,INT((ROW(A7)-1)/3)+1)</f>
        <v>External Assesor</v>
      </c>
      <c r="AX7" s="6" t="str" cm="1">
        <f t="array" ref="AX7">INDEX({"OR","RRR","ME"},MOD(ROW(AH7)-1,3)+1)</f>
        <v>OR</v>
      </c>
      <c r="AZ7" s="1" t="str" cm="1">
        <f t="array" ref="AZ7">INDEX($AV$1:$AV$100,INT((ROW(A7)-1)/2)+1)</f>
        <v>COVID19</v>
      </c>
      <c r="BA7" s="6" t="str" cm="1">
        <f t="array" ref="BA7">INDEX({"OR / RRR";"ME"}, MOD(ROW(X7)-1, 2)+1)</f>
        <v>OR / RRR</v>
      </c>
    </row>
    <row r="8" spans="1:53" ht="45">
      <c r="A8" s="107" t="s">
        <v>1035</v>
      </c>
      <c r="B8" s="108" t="s">
        <v>897</v>
      </c>
      <c r="C8" s="120" t="s">
        <v>1042</v>
      </c>
      <c r="D8" s="121" t="s">
        <v>879</v>
      </c>
      <c r="E8" s="122">
        <v>0.26200000000000001</v>
      </c>
      <c r="F8" s="122"/>
      <c r="G8" s="122"/>
      <c r="H8" s="122"/>
      <c r="I8" s="122"/>
      <c r="J8" s="123">
        <v>0.05</v>
      </c>
      <c r="K8" s="120" t="s">
        <v>1039</v>
      </c>
      <c r="L8" s="124" t="s">
        <v>1040</v>
      </c>
      <c r="R8" s="44" t="str">
        <f t="shared" si="13"/>
        <v>External Assesor</v>
      </c>
      <c r="S8" s="51" t="str">
        <f t="shared" si="2"/>
        <v>OR</v>
      </c>
      <c r="T8" s="51" t="str">
        <f t="shared" si="12"/>
        <v>0,71-0,96</v>
      </c>
      <c r="U8" s="51" t="str" cm="1">
        <f t="array" ref="U8">_xlfn.TEXTJOIN(", ", TRUE, _xlfn.UNIQUE(_xlfn._xlws.FILTER(K$2:K$100, (A$2:A$100 = R8) * (D$2:D$100 = S8))))</f>
        <v>The Netherlands, New Zealand, Norway, Sweden, UK, USA</v>
      </c>
      <c r="V8" s="51" t="str" cm="1">
        <f t="array" ref="V8">_xlfn.TEXTJOIN(", ", TRUE, _xlfn.UNIQUE(IF((A$2:A$100 = R8) * (D$2:D$100 = S8), L$2:L$100, "")))</f>
        <v>(Draborg &amp; Andersen, 2006)</v>
      </c>
      <c r="AA8" s="44" t="str">
        <f t="shared" si="0"/>
        <v>External Assesor</v>
      </c>
      <c r="AB8" s="51" t="str">
        <f t="shared" si="1"/>
        <v>OR</v>
      </c>
      <c r="AC8" s="194" t="e">
        <f t="shared" si="3"/>
        <v>#VALUE!</v>
      </c>
      <c r="AD8" s="51" t="str">
        <f t="shared" si="4"/>
        <v>NA</v>
      </c>
      <c r="AE8" s="51" t="str">
        <f t="shared" si="5"/>
        <v>NA</v>
      </c>
      <c r="AF8" s="51" t="str" cm="1">
        <f t="array" ref="AF8">IFERROR(_xlfn.TEXTJOIN(", ", TRUE, _xlfn.UNIQUE(_xlfn._xlws.FILTER(K$2:K$100, (A$2:A$100 = AA8) * (D$2:D$100 = AB8) * (J$2:J$100 &lt;= 0.05)))), "")</f>
        <v/>
      </c>
      <c r="AG8" s="51" t="str" cm="1">
        <f t="array" ref="AG8">_xlfn.TEXTJOIN(", ", TRUE, _xlfn.UNIQUE(IF((A$2:A$100 = AA8) * (D$2:D$100 = AB8) * ((J$2:J$100 &lt;= 0.05)), L$2:L$100, "")))</f>
        <v/>
      </c>
      <c r="AH8" s="51" t="str">
        <f t="shared" si="6"/>
        <v>OR / RRR</v>
      </c>
      <c r="AK8" s="44" t="str">
        <f t="shared" si="7"/>
        <v>COVID19</v>
      </c>
      <c r="AL8" s="46" t="str">
        <f t="shared" si="8"/>
        <v>OR / RRR</v>
      </c>
      <c r="AM8" s="194" t="str">
        <f t="shared" si="9"/>
        <v>NO DATA</v>
      </c>
      <c r="AN8" s="200">
        <f t="shared" si="10"/>
        <v>0</v>
      </c>
      <c r="AO8" s="46">
        <f t="shared" si="11"/>
        <v>0</v>
      </c>
      <c r="AP8" s="51" t="str" cm="1">
        <f t="array" ref="AP8">_xlfn.TEXTJOIN(", ", TRUE, _xlfn.UNIQUE(IF((AA$2:AA$100 = AK8) * (AH$2:AH$100 = AL8), AF$2:AF$100, "")))</f>
        <v/>
      </c>
      <c r="AQ8" s="51" t="str" cm="1">
        <f t="array" ref="AQ8">_xlfn.TEXTJOIN(", ", TRUE, _xlfn.UNIQUE(IF((AA$2:AA$100 = AK8) * (AH$2:AH$100 = AL8), AG$2:AG$100, "")))</f>
        <v/>
      </c>
      <c r="AV8" s="6" t="str">
        <v>Newspaper Pressure</v>
      </c>
      <c r="AW8" s="6" t="str" cm="1">
        <f t="array" ref="AW8">INDEX($AV$1:$AV$100,INT((ROW(A8)-1)/3)+1)</f>
        <v>External Assesor</v>
      </c>
      <c r="AX8" s="6" t="str" cm="1">
        <f t="array" ref="AX8">INDEX({"OR","RRR","ME"},MOD(ROW(AH8)-1,3)+1)</f>
        <v>RRR</v>
      </c>
      <c r="AZ8" s="1" t="str" cm="1">
        <f t="array" ref="AZ8">INDEX($AV$1:$AV$100,INT((ROW(A8)-1)/2)+1)</f>
        <v>COVID19</v>
      </c>
      <c r="BA8" s="6" t="str" cm="1">
        <f t="array" ref="BA8">INDEX({"OR / RRR";"ME"}, MOD(ROW(X8)-1, 2)+1)</f>
        <v>ME</v>
      </c>
    </row>
    <row r="9" spans="1:53" ht="60">
      <c r="A9" s="111" t="s">
        <v>1035</v>
      </c>
      <c r="B9" s="108" t="s">
        <v>897</v>
      </c>
      <c r="C9" s="100" t="s">
        <v>1043</v>
      </c>
      <c r="D9" s="93" t="s">
        <v>879</v>
      </c>
      <c r="E9" s="95">
        <v>0.36</v>
      </c>
      <c r="F9" s="95">
        <v>0.2</v>
      </c>
      <c r="G9" s="95">
        <v>0.65</v>
      </c>
      <c r="H9" s="95"/>
      <c r="I9" s="95"/>
      <c r="J9" s="100">
        <v>0.05</v>
      </c>
      <c r="K9" s="100" t="s">
        <v>911</v>
      </c>
      <c r="L9" s="92" t="s">
        <v>912</v>
      </c>
      <c r="R9" s="44" t="str">
        <f t="shared" si="13"/>
        <v>External Assesor</v>
      </c>
      <c r="S9" s="51" t="str">
        <f t="shared" si="2"/>
        <v>RRR</v>
      </c>
      <c r="T9" s="51" t="str">
        <f t="shared" si="12"/>
        <v>0-0</v>
      </c>
      <c r="U9" s="51" t="e" cm="1" vm="1">
        <f t="array" ref="U9">_xlfn.TEXTJOIN(", ", TRUE, _xlfn.UNIQUE(_xlfn._xlws.FILTER(K$2:K$100, (A$2:A$100 = R9) * (D$2:D$100 = S9))))</f>
        <v>#VALUE!</v>
      </c>
      <c r="V9" s="51" t="str" cm="1">
        <f t="array" ref="V9">_xlfn.TEXTJOIN(", ", TRUE, _xlfn.UNIQUE(IF((A$2:A$100 = R9) * (D$2:D$100 = S9), L$2:L$100, "")))</f>
        <v/>
      </c>
      <c r="AA9" s="44" t="str">
        <f t="shared" si="0"/>
        <v>External Assesor</v>
      </c>
      <c r="AB9" s="51" t="str">
        <f t="shared" si="1"/>
        <v>RRR</v>
      </c>
      <c r="AC9" s="194" t="e">
        <f t="shared" si="3"/>
        <v>#VALUE!</v>
      </c>
      <c r="AD9" s="51" t="str">
        <f t="shared" si="4"/>
        <v>NA</v>
      </c>
      <c r="AE9" s="51" t="str">
        <f t="shared" si="5"/>
        <v>NA</v>
      </c>
      <c r="AF9" s="51" t="str" cm="1">
        <f t="array" ref="AF9">IFERROR(_xlfn.TEXTJOIN(", ", TRUE, _xlfn.UNIQUE(_xlfn._xlws.FILTER(K$2:K$100, (A$2:A$100 = AA9) * (D$2:D$100 = AB9) * (J$2:J$100 &lt;= 0.05)))), "")</f>
        <v/>
      </c>
      <c r="AG9" s="51" t="str" cm="1">
        <f t="array" ref="AG9">_xlfn.TEXTJOIN(", ", TRUE, _xlfn.UNIQUE(IF((A$2:A$100 = AA9) * (D$2:D$100 = AB9) * ((J$2:J$100 &lt;= 0.05)), L$2:L$100, "")))</f>
        <v/>
      </c>
      <c r="AH9" s="51" t="str">
        <f t="shared" si="6"/>
        <v>OR / RRR</v>
      </c>
      <c r="AK9" s="44" t="str">
        <f t="shared" si="7"/>
        <v>COVID19</v>
      </c>
      <c r="AL9" s="46" t="str">
        <f t="shared" si="8"/>
        <v>ME</v>
      </c>
      <c r="AM9" s="194" t="str">
        <f t="shared" si="9"/>
        <v>NO DATA</v>
      </c>
      <c r="AN9" s="200">
        <f t="shared" si="10"/>
        <v>0</v>
      </c>
      <c r="AO9" s="46">
        <f t="shared" si="11"/>
        <v>0</v>
      </c>
      <c r="AP9" s="51" t="str" cm="1">
        <f t="array" ref="AP9">_xlfn.TEXTJOIN(", ", TRUE, _xlfn.UNIQUE(IF((AA$2:AA$100 = AK9) * (AH$2:AH$100 = AL9), AF$2:AF$100, "")))</f>
        <v/>
      </c>
      <c r="AQ9" s="51" t="str" cm="1">
        <f t="array" ref="AQ9">_xlfn.TEXTJOIN(", ", TRUE, _xlfn.UNIQUE(IF((AA$2:AA$100 = AK9) * (AH$2:AH$100 = AL9), AG$2:AG$100, "")))</f>
        <v/>
      </c>
      <c r="AV9" s="6" t="str">
        <v>HTA Submission - Economic Aspect Completeness</v>
      </c>
      <c r="AW9" s="6" t="str" cm="1">
        <f t="array" ref="AW9">INDEX($AV$1:$AV$100,INT((ROW(A9)-1)/3)+1)</f>
        <v>External Assesor</v>
      </c>
      <c r="AX9" s="6" t="str" cm="1">
        <f t="array" ref="AX9">INDEX({"OR","RRR","ME"},MOD(ROW(AH9)-1,3)+1)</f>
        <v>ME</v>
      </c>
      <c r="AZ9" s="1" t="str" cm="1">
        <f t="array" ref="AZ9">INDEX($AV$1:$AV$100,INT((ROW(A9)-1)/2)+1)</f>
        <v>Election year</v>
      </c>
      <c r="BA9" s="6" t="str" cm="1">
        <f t="array" ref="BA9">INDEX({"OR / RRR";"ME"}, MOD(ROW(X9)-1, 2)+1)</f>
        <v>OR / RRR</v>
      </c>
    </row>
    <row r="10" spans="1:53" ht="45">
      <c r="A10" s="151" t="s">
        <v>1044</v>
      </c>
      <c r="B10" s="150" t="s">
        <v>903</v>
      </c>
      <c r="C10" s="96" t="s">
        <v>1045</v>
      </c>
      <c r="D10" s="93" t="s">
        <v>879</v>
      </c>
      <c r="E10" s="95">
        <v>0.41099999999999998</v>
      </c>
      <c r="F10" s="95">
        <v>1.2999999999999999E-2</v>
      </c>
      <c r="G10" s="95">
        <v>12.925000000000001</v>
      </c>
      <c r="H10" s="95"/>
      <c r="I10" s="95"/>
      <c r="J10" s="96" t="s">
        <v>886</v>
      </c>
      <c r="K10" s="96" t="s">
        <v>1046</v>
      </c>
      <c r="L10" s="92" t="s">
        <v>905</v>
      </c>
      <c r="R10" s="44" t="str">
        <f t="shared" si="13"/>
        <v>External Assesor</v>
      </c>
      <c r="S10" s="51" t="str">
        <f t="shared" si="2"/>
        <v>ME</v>
      </c>
      <c r="T10" s="51" t="str">
        <f t="shared" si="12"/>
        <v>0-0</v>
      </c>
      <c r="U10" s="51" t="e" cm="1" vm="1">
        <f t="array" ref="U10">_xlfn.TEXTJOIN(", ", TRUE, _xlfn.UNIQUE(_xlfn._xlws.FILTER(K$2:K$100, (A$2:A$100 = R10) * (D$2:D$100 = S10))))</f>
        <v>#VALUE!</v>
      </c>
      <c r="V10" s="51" t="str" cm="1">
        <f t="array" ref="V10">_xlfn.TEXTJOIN(", ", TRUE, _xlfn.UNIQUE(IF((A$2:A$100 = R10) * (D$2:D$100 = S10), L$2:L$100, "")))</f>
        <v/>
      </c>
      <c r="AA10" s="44" t="str">
        <f t="shared" si="0"/>
        <v>External Assesor</v>
      </c>
      <c r="AB10" s="51" t="str">
        <f t="shared" si="1"/>
        <v>ME</v>
      </c>
      <c r="AC10" s="194" t="e">
        <f t="shared" si="3"/>
        <v>#VALUE!</v>
      </c>
      <c r="AD10" s="51" t="str">
        <f t="shared" si="4"/>
        <v>NA</v>
      </c>
      <c r="AE10" s="51" t="str">
        <f t="shared" si="5"/>
        <v>NA</v>
      </c>
      <c r="AF10" s="51" t="str" cm="1">
        <f t="array" ref="AF10">IFERROR(_xlfn.TEXTJOIN(", ", TRUE, _xlfn.UNIQUE(_xlfn._xlws.FILTER(K$2:K$100, (A$2:A$100 = AA10) * (D$2:D$100 = AB10) * (J$2:J$100 &lt;= 0.05)))), "")</f>
        <v/>
      </c>
      <c r="AG10" s="51" t="str" cm="1">
        <f t="array" ref="AG10">_xlfn.TEXTJOIN(", ", TRUE, _xlfn.UNIQUE(IF((A$2:A$100 = AA10) * (D$2:D$100 = AB10) * ((J$2:J$100 &lt;= 0.05)), L$2:L$100, "")))</f>
        <v/>
      </c>
      <c r="AH10" s="51" t="str">
        <f t="shared" si="6"/>
        <v>ME</v>
      </c>
      <c r="AK10" s="44" t="str">
        <f t="shared" si="7"/>
        <v>Election year</v>
      </c>
      <c r="AL10" s="46" t="str">
        <f t="shared" si="8"/>
        <v>OR / RRR</v>
      </c>
      <c r="AM10" s="194" t="str">
        <f t="shared" si="9"/>
        <v>NO DATA</v>
      </c>
      <c r="AN10" s="200">
        <f t="shared" si="10"/>
        <v>0</v>
      </c>
      <c r="AO10" s="46">
        <f t="shared" si="11"/>
        <v>0</v>
      </c>
      <c r="AP10" s="51" t="str" cm="1">
        <f t="array" ref="AP10">_xlfn.TEXTJOIN(", ", TRUE, _xlfn.UNIQUE(IF((AA$2:AA$100 = AK10) * (AH$2:AH$100 = AL10), AF$2:AF$100, "")))</f>
        <v/>
      </c>
      <c r="AQ10" s="51" t="str" cm="1">
        <f t="array" ref="AQ10">_xlfn.TEXTJOIN(", ", TRUE, _xlfn.UNIQUE(IF((AA$2:AA$100 = AK10) * (AH$2:AH$100 = AL10), AG$2:AG$100, "")))</f>
        <v/>
      </c>
      <c r="AV10" s="6" t="str">
        <v>HTA Aspect - Patient Aspect Completeness</v>
      </c>
      <c r="AW10" s="6" t="str" cm="1">
        <f t="array" ref="AW10">INDEX($AV$1:$AV$100,INT((ROW(A10)-1)/3)+1)</f>
        <v>COVID19</v>
      </c>
      <c r="AX10" s="6" t="str" cm="1">
        <f t="array" ref="AX10">INDEX({"OR","RRR","ME"},MOD(ROW(AH10)-1,3)+1)</f>
        <v>OR</v>
      </c>
      <c r="AZ10" s="1" t="str" cm="1">
        <f t="array" ref="AZ10">INDEX($AV$1:$AV$100,INT((ROW(A10)-1)/2)+1)</f>
        <v>Election year</v>
      </c>
      <c r="BA10" s="6" t="str" cm="1">
        <f t="array" ref="BA10">INDEX({"OR / RRR";"ME"}, MOD(ROW(X10)-1, 2)+1)</f>
        <v>ME</v>
      </c>
    </row>
    <row r="11" spans="1:53" ht="60">
      <c r="A11" s="111" t="s">
        <v>1047</v>
      </c>
      <c r="B11" s="125" t="s">
        <v>897</v>
      </c>
      <c r="C11" s="100" t="s">
        <v>1048</v>
      </c>
      <c r="D11" s="93" t="s">
        <v>879</v>
      </c>
      <c r="E11" s="95">
        <v>0.96</v>
      </c>
      <c r="F11" s="95">
        <v>0.38</v>
      </c>
      <c r="G11" s="95">
        <v>2.41</v>
      </c>
      <c r="H11" s="95"/>
      <c r="I11" s="95"/>
      <c r="J11" s="100" t="s">
        <v>886</v>
      </c>
      <c r="K11" s="100" t="s">
        <v>911</v>
      </c>
      <c r="L11" s="105" t="s">
        <v>912</v>
      </c>
      <c r="R11" s="44" t="str">
        <f t="shared" si="13"/>
        <v>COVID19</v>
      </c>
      <c r="S11" s="51" t="str">
        <f t="shared" si="2"/>
        <v>OR</v>
      </c>
      <c r="T11" s="51" t="str">
        <f t="shared" si="12"/>
        <v>1,43-1,43</v>
      </c>
      <c r="U11" s="51" t="str" cm="1">
        <f t="array" ref="U11">_xlfn.TEXTJOIN(", ", TRUE, _xlfn.UNIQUE(_xlfn._xlws.FILTER(K$2:K$100, (A$2:A$100 = R11) * (D$2:D$100 = S11))))</f>
        <v>Brazil</v>
      </c>
      <c r="V11" s="51" t="str" cm="1">
        <f t="array" ref="V11">_xlfn.TEXTJOIN(", ", TRUE, _xlfn.UNIQUE(IF((A$2:A$100 = R11) * (D$2:D$100 = S11), L$2:L$100, "")))</f>
        <v>(Cardoso et al., 2023)</v>
      </c>
      <c r="AA11" s="44" t="str">
        <f t="shared" si="0"/>
        <v>COVID19</v>
      </c>
      <c r="AB11" s="51" t="str">
        <f t="shared" si="1"/>
        <v>OR</v>
      </c>
      <c r="AC11" s="194" t="e">
        <f t="shared" si="3"/>
        <v>#VALUE!</v>
      </c>
      <c r="AD11" s="51" t="str">
        <f t="shared" si="4"/>
        <v>NA</v>
      </c>
      <c r="AE11" s="51" t="str">
        <f t="shared" si="5"/>
        <v>NA</v>
      </c>
      <c r="AF11" s="51" t="str" cm="1">
        <f t="array" ref="AF11">IFERROR(_xlfn.TEXTJOIN(", ", TRUE, _xlfn.UNIQUE(_xlfn._xlws.FILTER(K$2:K$100, (A$2:A$100 = AA11) * (D$2:D$100 = AB11) * (J$2:J$100 &lt;= 0.05)))), "")</f>
        <v/>
      </c>
      <c r="AG11" s="51" t="str" cm="1">
        <f t="array" ref="AG11">_xlfn.TEXTJOIN(", ", TRUE, _xlfn.UNIQUE(IF((A$2:A$100 = AA11) * (D$2:D$100 = AB11) * ((J$2:J$100 &lt;= 0.05)), L$2:L$100, "")))</f>
        <v/>
      </c>
      <c r="AH11" s="51" t="str">
        <f t="shared" si="6"/>
        <v>OR / RRR</v>
      </c>
      <c r="AK11" s="44" t="str">
        <f t="shared" si="7"/>
        <v>Election year</v>
      </c>
      <c r="AL11" s="46" t="str">
        <f t="shared" si="8"/>
        <v>ME</v>
      </c>
      <c r="AM11" s="194" t="str">
        <f t="shared" si="9"/>
        <v>NO DATA</v>
      </c>
      <c r="AN11" s="200">
        <f t="shared" si="10"/>
        <v>0</v>
      </c>
      <c r="AO11" s="46">
        <f t="shared" si="11"/>
        <v>0</v>
      </c>
      <c r="AP11" s="51" t="str" cm="1">
        <f t="array" ref="AP11">_xlfn.TEXTJOIN(", ", TRUE, _xlfn.UNIQUE(IF((AA$2:AA$100 = AK11) * (AH$2:AH$100 = AL11), AF$2:AF$100, "")))</f>
        <v/>
      </c>
      <c r="AQ11" s="51" t="str" cm="1">
        <f t="array" ref="AQ11">_xlfn.TEXTJOIN(", ", TRUE, _xlfn.UNIQUE(IF((AA$2:AA$100 = AK11) * (AH$2:AH$100 = AL11), AG$2:AG$100, "")))</f>
        <v/>
      </c>
      <c r="AV11" s="6" t="str">
        <v>HTA Aspect - Organizational Aspect Completeness</v>
      </c>
      <c r="AW11" s="6" t="str" cm="1">
        <f t="array" ref="AW11">INDEX($AV$1:$AV$100,INT((ROW(A11)-1)/3)+1)</f>
        <v>COVID19</v>
      </c>
      <c r="AX11" s="6" t="str" cm="1">
        <f t="array" ref="AX11">INDEX({"OR","RRR","ME"},MOD(ROW(AH11)-1,3)+1)</f>
        <v>RRR</v>
      </c>
      <c r="AZ11" s="1" cm="1">
        <f t="array" ref="AZ11">INDEX($AV$1:$AV$100,INT((ROW(A11)-1)/2)+1)</f>
        <v>0</v>
      </c>
      <c r="BA11" s="6" t="str" cm="1">
        <f t="array" ref="BA11">INDEX({"OR / RRR";"ME"}, MOD(ROW(X11)-1, 2)+1)</f>
        <v>OR / RRR</v>
      </c>
    </row>
    <row r="12" spans="1:53" ht="60">
      <c r="A12" s="111" t="s">
        <v>1047</v>
      </c>
      <c r="B12" s="125" t="s">
        <v>897</v>
      </c>
      <c r="C12" s="100" t="s">
        <v>1049</v>
      </c>
      <c r="D12" s="93" t="s">
        <v>879</v>
      </c>
      <c r="E12" s="95">
        <v>0.71</v>
      </c>
      <c r="F12" s="95">
        <v>0.28000000000000003</v>
      </c>
      <c r="G12" s="95">
        <v>1.84</v>
      </c>
      <c r="H12" s="95"/>
      <c r="I12" s="95"/>
      <c r="J12" s="100" t="s">
        <v>886</v>
      </c>
      <c r="K12" s="100" t="s">
        <v>911</v>
      </c>
      <c r="L12" s="105" t="s">
        <v>912</v>
      </c>
      <c r="R12" s="44" t="str">
        <f t="shared" si="13"/>
        <v>COVID19</v>
      </c>
      <c r="S12" s="51" t="str">
        <f t="shared" si="2"/>
        <v>RRR</v>
      </c>
      <c r="T12" s="51" t="str">
        <f t="shared" si="12"/>
        <v>0-0</v>
      </c>
      <c r="U12" s="51" t="e" cm="1" vm="1">
        <f t="array" ref="U12">_xlfn.TEXTJOIN(", ", TRUE, _xlfn.UNIQUE(_xlfn._xlws.FILTER(K$2:K$100, (A$2:A$100 = R12) * (D$2:D$100 = S12))))</f>
        <v>#VALUE!</v>
      </c>
      <c r="V12" s="51" t="str" cm="1">
        <f t="array" ref="V12">_xlfn.TEXTJOIN(", ", TRUE, _xlfn.UNIQUE(IF((A$2:A$100 = R12) * (D$2:D$100 = S12), L$2:L$100, "")))</f>
        <v/>
      </c>
      <c r="AA12" s="44" t="str">
        <f t="shared" si="0"/>
        <v>COVID19</v>
      </c>
      <c r="AB12" s="51" t="str">
        <f t="shared" si="1"/>
        <v>RRR</v>
      </c>
      <c r="AC12" s="194" t="e">
        <f t="shared" si="3"/>
        <v>#VALUE!</v>
      </c>
      <c r="AD12" s="51" t="str">
        <f t="shared" si="4"/>
        <v>NA</v>
      </c>
      <c r="AE12" s="51" t="str">
        <f t="shared" si="5"/>
        <v>NA</v>
      </c>
      <c r="AF12" s="51" t="str" cm="1">
        <f t="array" ref="AF12">IFERROR(_xlfn.TEXTJOIN(", ", TRUE, _xlfn.UNIQUE(_xlfn._xlws.FILTER(K$2:K$100, (A$2:A$100 = AA12) * (D$2:D$100 = AB12) * (J$2:J$100 &lt;= 0.05)))), "")</f>
        <v/>
      </c>
      <c r="AG12" s="51" t="str" cm="1">
        <f t="array" ref="AG12">_xlfn.TEXTJOIN(", ", TRUE, _xlfn.UNIQUE(IF((A$2:A$100 = AA12) * (D$2:D$100 = AB12) * ((J$2:J$100 &lt;= 0.05)), L$2:L$100, "")))</f>
        <v/>
      </c>
      <c r="AH12" s="51" t="str">
        <f t="shared" si="6"/>
        <v>OR / RRR</v>
      </c>
      <c r="AK12" s="44">
        <f>AZ11</f>
        <v>0</v>
      </c>
      <c r="AL12" s="46" t="str">
        <f>BA11</f>
        <v>OR / RRR</v>
      </c>
      <c r="AM12" s="194" t="str">
        <f>IF(AN12=AO12, IF(AN12=0, "NO DATA", ROUND(AN12, 2)), ROUND(AN12, 2) &amp; "-" &amp; ROUND(AO12, 2))</f>
        <v>NO DATA</v>
      </c>
      <c r="AN12" s="200">
        <f>_xlfn.MINIFS(AD:AD, AA:AA, AK12, AH:AH, AL12)</f>
        <v>0</v>
      </c>
      <c r="AO12" s="46">
        <f>_xlfn.MAXIFS(AE:AE, AA:AA, AK12, AH:AH, AL12)</f>
        <v>0</v>
      </c>
      <c r="AP12" s="51" t="str" cm="1">
        <f t="array" ref="AP12">_xlfn.TEXTJOIN(", ", TRUE, _xlfn.UNIQUE(IF((AA$2:AA$100 = AK12) * (AH$2:AH$100 = AL12), AF$2:AF$100, "")))</f>
        <v/>
      </c>
      <c r="AQ12" s="51" t="str" cm="1">
        <f t="array" ref="AQ12">_xlfn.TEXTJOIN(", ", TRUE, _xlfn.UNIQUE(IF((AA$2:AA$100 = AK12) * (AH$2:AH$100 = AL12), AG$2:AG$100, "")))</f>
        <v/>
      </c>
      <c r="AV12" s="6" t="str">
        <v>Legal Act Required for Positive Decision</v>
      </c>
      <c r="AW12" s="6" t="str" cm="1">
        <f t="array" ref="AW12">INDEX($AV$1:$AV$100,INT((ROW(A12)-1)/3)+1)</f>
        <v>COVID19</v>
      </c>
      <c r="AX12" s="6" t="str" cm="1">
        <f t="array" ref="AX12">INDEX({"OR","RRR","ME"},MOD(ROW(AH12)-1,3)+1)</f>
        <v>ME</v>
      </c>
      <c r="AZ12" s="1" cm="1">
        <f t="array" ref="AZ12">INDEX($AV$1:$AV$100,INT((ROW(A12)-1)/2)+1)</f>
        <v>0</v>
      </c>
      <c r="BA12" s="6" t="str" cm="1">
        <f t="array" ref="BA12">INDEX({"OR / RRR";"ME"}, MOD(ROW(X12)-1, 2)+1)</f>
        <v>ME</v>
      </c>
    </row>
    <row r="13" spans="1:53" ht="30">
      <c r="A13" s="111" t="s">
        <v>1050</v>
      </c>
      <c r="B13" s="125" t="s">
        <v>1051</v>
      </c>
      <c r="C13" s="96" t="s">
        <v>1052</v>
      </c>
      <c r="D13" s="93" t="s">
        <v>879</v>
      </c>
      <c r="E13" s="95">
        <v>1.43</v>
      </c>
      <c r="F13" s="95">
        <v>0.84</v>
      </c>
      <c r="G13" s="95">
        <v>2.46</v>
      </c>
      <c r="H13" s="95"/>
      <c r="I13" s="95"/>
      <c r="J13" s="96">
        <v>0.192</v>
      </c>
      <c r="K13" s="96" t="s">
        <v>67</v>
      </c>
      <c r="L13" s="92" t="s">
        <v>1053</v>
      </c>
      <c r="R13" s="44" t="str">
        <f t="shared" si="13"/>
        <v>COVID19</v>
      </c>
      <c r="S13" s="51" t="str">
        <f t="shared" si="2"/>
        <v>ME</v>
      </c>
      <c r="T13" s="51" t="str">
        <f t="shared" si="12"/>
        <v>0-0</v>
      </c>
      <c r="U13" s="51" t="e" cm="1" vm="1">
        <f t="array" ref="U13">_xlfn.TEXTJOIN(", ", TRUE, _xlfn.UNIQUE(_xlfn._xlws.FILTER(K$2:K$100, (A$2:A$100 = R13) * (D$2:D$100 = S13))))</f>
        <v>#VALUE!</v>
      </c>
      <c r="V13" s="51" t="str" cm="1">
        <f t="array" ref="V13">_xlfn.TEXTJOIN(", ", TRUE, _xlfn.UNIQUE(IF((A$2:A$100 = R13) * (D$2:D$100 = S13), L$2:L$100, "")))</f>
        <v/>
      </c>
      <c r="AA13" s="44" t="str">
        <f t="shared" si="0"/>
        <v>COVID19</v>
      </c>
      <c r="AB13" s="51" t="str">
        <f t="shared" si="1"/>
        <v>ME</v>
      </c>
      <c r="AC13" s="194" t="e">
        <f t="shared" si="3"/>
        <v>#VALUE!</v>
      </c>
      <c r="AD13" s="51" t="str">
        <f t="shared" si="4"/>
        <v>NA</v>
      </c>
      <c r="AE13" s="51" t="str">
        <f t="shared" si="5"/>
        <v>NA</v>
      </c>
      <c r="AF13" s="51" t="str" cm="1">
        <f t="array" ref="AF13">IFERROR(_xlfn.TEXTJOIN(", ", TRUE, _xlfn.UNIQUE(_xlfn._xlws.FILTER(K$2:K$100, (A$2:A$100 = AA13) * (D$2:D$100 = AB13) * (J$2:J$100 &lt;= 0.05)))), "")</f>
        <v/>
      </c>
      <c r="AG13" s="51" t="str" cm="1">
        <f t="array" ref="AG13">_xlfn.TEXTJOIN(", ", TRUE, _xlfn.UNIQUE(IF((A$2:A$100 = AA13) * (D$2:D$100 = AB13) * ((J$2:J$100 &lt;= 0.05)), L$2:L$100, "")))</f>
        <v/>
      </c>
      <c r="AH13" s="51" t="str">
        <f t="shared" si="6"/>
        <v>ME</v>
      </c>
      <c r="AK13" s="44">
        <f t="shared" ref="AK13:AK18" si="14">AZ12</f>
        <v>0</v>
      </c>
      <c r="AL13" s="46" t="str">
        <f t="shared" ref="AL13:AL18" si="15">BA12</f>
        <v>ME</v>
      </c>
      <c r="AM13" s="194" t="str">
        <f t="shared" ref="AM13:AM18" si="16">IF(AN13=AO13, IF(AN13=0, "NO DATA", ROUND(AN13, 2)), ROUND(AN13, 2) &amp; "-" &amp; ROUND(AO13, 2))</f>
        <v>NO DATA</v>
      </c>
      <c r="AN13" s="200">
        <f t="shared" ref="AN13:AN18" si="17">_xlfn.MINIFS(AD:AD, AA:AA, AK13, AH:AH, AL13)</f>
        <v>0</v>
      </c>
      <c r="AO13" s="46">
        <f t="shared" ref="AO13:AO18" si="18">_xlfn.MAXIFS(AE:AE, AA:AA, AK13, AH:AH, AL13)</f>
        <v>0</v>
      </c>
      <c r="AP13" s="51" t="str" cm="1">
        <f t="array" ref="AP13">_xlfn.TEXTJOIN(", ", TRUE, _xlfn.UNIQUE(IF((AA$2:AA$100 = AK13) * (AH$2:AH$100 = AL13), AF$2:AF$100, "")))</f>
        <v/>
      </c>
      <c r="AQ13" s="51" t="str" cm="1">
        <f t="array" ref="AQ13">_xlfn.TEXTJOIN(", ", TRUE, _xlfn.UNIQUE(IF((AA$2:AA$100 = AK13) * (AH$2:AH$100 = AL13), AG$2:AG$100, "")))</f>
        <v/>
      </c>
      <c r="AV13" s="6" t="str">
        <v>HTA Aspect - Technological Aspect Completeness</v>
      </c>
      <c r="AW13" s="6" t="str" cm="1">
        <f t="array" ref="AW13">INDEX($AV$1:$AV$100,INT((ROW(A13)-1)/3)+1)</f>
        <v>Election year</v>
      </c>
      <c r="AX13" s="6" t="str" cm="1">
        <f t="array" ref="AX13">INDEX({"OR","RRR","ME"},MOD(ROW(AH13)-1,3)+1)</f>
        <v>OR</v>
      </c>
      <c r="AZ13" s="1" t="str" cm="1">
        <f t="array" ref="AZ13">INDEX($AV$1:$AV$100,INT((ROW(A13)-1)/2)+1)</f>
        <v>Big Company Submission</v>
      </c>
      <c r="BA13" s="6" t="str" cm="1">
        <f t="array" ref="BA13">INDEX({"OR / RRR";"ME"}, MOD(ROW(X13)-1, 2)+1)</f>
        <v>OR / RRR</v>
      </c>
    </row>
    <row r="14" spans="1:53" ht="30">
      <c r="A14" s="152" t="s">
        <v>1054</v>
      </c>
      <c r="B14" s="93" t="s">
        <v>878</v>
      </c>
      <c r="C14" s="100" t="s">
        <v>1054</v>
      </c>
      <c r="D14" s="93" t="s">
        <v>879</v>
      </c>
      <c r="E14" s="95">
        <f>EXP(1.0631)</f>
        <v>2.8953326226897187</v>
      </c>
      <c r="F14" s="95">
        <f>EXP(-0.817)</f>
        <v>0.44175493339539235</v>
      </c>
      <c r="G14" s="95">
        <f>EXP(2.939)</f>
        <v>18.89693992071409</v>
      </c>
      <c r="H14" s="95"/>
      <c r="I14" s="95"/>
      <c r="J14" s="100">
        <v>0.26800000000000002</v>
      </c>
      <c r="K14" s="100" t="s">
        <v>365</v>
      </c>
      <c r="L14" s="153" t="s">
        <v>895</v>
      </c>
      <c r="R14" s="44" t="str">
        <f t="shared" si="13"/>
        <v>Election year</v>
      </c>
      <c r="S14" s="51" t="str">
        <f t="shared" si="2"/>
        <v>OR</v>
      </c>
      <c r="T14" s="51" t="str">
        <f t="shared" si="12"/>
        <v>2,9-2,9</v>
      </c>
      <c r="U14" s="51" t="str" cm="1">
        <f t="array" ref="U14">_xlfn.TEXTJOIN(", ", TRUE, _xlfn.UNIQUE(_xlfn._xlws.FILTER(K$2:K$100, (A$2:A$100 = R14) * (D$2:D$100 = S14))))</f>
        <v>Australia</v>
      </c>
      <c r="V14" s="51" t="str" cm="1">
        <f t="array" ref="V14">_xlfn.TEXTJOIN(", ", TRUE, _xlfn.UNIQUE(IF((A$2:A$100 = R14) * (D$2:D$100 = S14), L$2:L$100, "")))</f>
        <v>(Haque et al., 2023)</v>
      </c>
      <c r="AA14" s="44" t="str">
        <f t="shared" si="0"/>
        <v>Election year</v>
      </c>
      <c r="AB14" s="51" t="str">
        <f t="shared" si="1"/>
        <v>OR</v>
      </c>
      <c r="AC14" s="194" t="e">
        <f t="shared" si="3"/>
        <v>#VALUE!</v>
      </c>
      <c r="AD14" s="51" t="str">
        <f t="shared" si="4"/>
        <v>NA</v>
      </c>
      <c r="AE14" s="51" t="str">
        <f t="shared" si="5"/>
        <v>NA</v>
      </c>
      <c r="AF14" s="51" t="str" cm="1">
        <f t="array" ref="AF14">IFERROR(_xlfn.TEXTJOIN(", ", TRUE, _xlfn.UNIQUE(_xlfn._xlws.FILTER(K$2:K$100, (A$2:A$100 = AA14) * (D$2:D$100 = AB14) * (J$2:J$100 &lt;= 0.05)))), "")</f>
        <v/>
      </c>
      <c r="AG14" s="51" t="str" cm="1">
        <f t="array" ref="AG14">_xlfn.TEXTJOIN(", ", TRUE, _xlfn.UNIQUE(IF((A$2:A$100 = AA14) * (D$2:D$100 = AB14) * ((J$2:J$100 &lt;= 0.05)), L$2:L$100, "")))</f>
        <v/>
      </c>
      <c r="AH14" s="51" t="str">
        <f t="shared" si="6"/>
        <v>OR / RRR</v>
      </c>
      <c r="AK14" s="44" t="str">
        <f t="shared" si="14"/>
        <v>Big Company Submission</v>
      </c>
      <c r="AL14" s="46" t="str">
        <f t="shared" si="15"/>
        <v>OR / RRR</v>
      </c>
      <c r="AM14" s="194">
        <f t="shared" si="16"/>
        <v>2.83</v>
      </c>
      <c r="AN14" s="200">
        <f t="shared" si="17"/>
        <v>2.83</v>
      </c>
      <c r="AO14" s="46">
        <f t="shared" si="18"/>
        <v>2.83</v>
      </c>
      <c r="AP14" s="51" t="str" cm="1">
        <f t="array" ref="AP14">_xlfn.TEXTJOIN(", ", TRUE, _xlfn.UNIQUE(IF((AA$2:AA$100 = AK14) * (AH$2:AH$100 = AL14), AF$2:AF$100, "")))</f>
        <v>Scotland</v>
      </c>
      <c r="AQ14" s="51" t="str" cm="1">
        <f t="array" ref="AQ14">_xlfn.TEXTJOIN(", ", TRUE, _xlfn.UNIQUE(IF((AA$2:AA$100 = AK14) * (AH$2:AH$100 = AL14), AG$2:AG$100, "")))</f>
        <v>(Charokopou et al., 2015)</v>
      </c>
      <c r="AV14" s="6" t="str">
        <v>Single Technology Appraisals</v>
      </c>
      <c r="AW14" s="6" t="str" cm="1">
        <f t="array" ref="AW14">INDEX($AV$1:$AV$100,INT((ROW(A14)-1)/3)+1)</f>
        <v>Election year</v>
      </c>
      <c r="AX14" s="6" t="str" cm="1">
        <f t="array" ref="AX14">INDEX({"OR","RRR","ME"},MOD(ROW(AH14)-1,3)+1)</f>
        <v>RRR</v>
      </c>
      <c r="AZ14" s="1" t="str" cm="1">
        <f t="array" ref="AZ14">INDEX($AV$1:$AV$100,INT((ROW(A14)-1)/2)+1)</f>
        <v>Big Company Submission</v>
      </c>
      <c r="BA14" s="6" t="str" cm="1">
        <f t="array" ref="BA14">INDEX({"OR / RRR";"ME"}, MOD(ROW(X14)-1, 2)+1)</f>
        <v>ME</v>
      </c>
    </row>
    <row r="15" spans="1:53" ht="30">
      <c r="A15" s="112"/>
      <c r="B15" s="108"/>
      <c r="C15" s="43"/>
      <c r="D15" s="46"/>
      <c r="E15" s="48"/>
      <c r="F15" s="48"/>
      <c r="G15" s="48"/>
      <c r="H15" s="48"/>
      <c r="I15" s="48"/>
      <c r="J15" s="43"/>
      <c r="K15" s="43"/>
      <c r="L15" s="47"/>
      <c r="R15" s="44" t="str">
        <f t="shared" si="13"/>
        <v>Election year</v>
      </c>
      <c r="S15" s="51" t="str">
        <f t="shared" si="2"/>
        <v>RRR</v>
      </c>
      <c r="T15" s="51" t="str">
        <f t="shared" si="12"/>
        <v>0-0</v>
      </c>
      <c r="U15" s="51" t="e" cm="1" vm="1">
        <f t="array" ref="U15">_xlfn.TEXTJOIN(", ", TRUE, _xlfn.UNIQUE(_xlfn._xlws.FILTER(K$2:K$100, (A$2:A$100 = R15) * (D$2:D$100 = S15))))</f>
        <v>#VALUE!</v>
      </c>
      <c r="V15" s="51" t="str" cm="1">
        <f t="array" ref="V15">_xlfn.TEXTJOIN(", ", TRUE, _xlfn.UNIQUE(IF((A$2:A$100 = R15) * (D$2:D$100 = S15), L$2:L$100, "")))</f>
        <v/>
      </c>
      <c r="AA15" s="44" t="str">
        <f t="shared" si="0"/>
        <v>Election year</v>
      </c>
      <c r="AB15" s="51" t="str">
        <f t="shared" si="1"/>
        <v>RRR</v>
      </c>
      <c r="AC15" s="194" t="e">
        <f t="shared" si="3"/>
        <v>#VALUE!</v>
      </c>
      <c r="AD15" s="51" t="str">
        <f t="shared" si="4"/>
        <v>NA</v>
      </c>
      <c r="AE15" s="51" t="str">
        <f t="shared" si="5"/>
        <v>NA</v>
      </c>
      <c r="AF15" s="51" t="str" cm="1">
        <f t="array" ref="AF15">IFERROR(_xlfn.TEXTJOIN(", ", TRUE, _xlfn.UNIQUE(_xlfn._xlws.FILTER(K$2:K$100, (A$2:A$100 = AA15) * (D$2:D$100 = AB15) * (J$2:J$100 &lt;= 0.05)))), "")</f>
        <v/>
      </c>
      <c r="AG15" s="51" t="str" cm="1">
        <f t="array" ref="AG15">_xlfn.TEXTJOIN(", ", TRUE, _xlfn.UNIQUE(IF((A$2:A$100 = AA15) * (D$2:D$100 = AB15) * ((J$2:J$100 &lt;= 0.05)), L$2:L$100, "")))</f>
        <v/>
      </c>
      <c r="AH15" s="51" t="str">
        <f t="shared" si="6"/>
        <v>OR / RRR</v>
      </c>
      <c r="AK15" s="44" t="str">
        <f t="shared" si="14"/>
        <v>Big Company Submission</v>
      </c>
      <c r="AL15" s="46" t="str">
        <f t="shared" si="15"/>
        <v>ME</v>
      </c>
      <c r="AM15" s="194" t="str">
        <f t="shared" si="16"/>
        <v>NO DATA</v>
      </c>
      <c r="AN15" s="200">
        <f t="shared" si="17"/>
        <v>0</v>
      </c>
      <c r="AO15" s="46">
        <f t="shared" si="18"/>
        <v>0</v>
      </c>
      <c r="AP15" s="51" t="str" cm="1">
        <f t="array" ref="AP15">_xlfn.TEXTJOIN(", ", TRUE, _xlfn.UNIQUE(IF((AA$2:AA$100 = AK15) * (AH$2:AH$100 = AL15), AF$2:AF$100, "")))</f>
        <v/>
      </c>
      <c r="AQ15" s="51" t="str" cm="1">
        <f t="array" ref="AQ15">_xlfn.TEXTJOIN(", ", TRUE, _xlfn.UNIQUE(IF((AA$2:AA$100 = AK15) * (AH$2:AH$100 = AL15), AG$2:AG$100, "")))</f>
        <v/>
      </c>
      <c r="AV15" s="6"/>
      <c r="AW15" s="6" t="str" cm="1">
        <f t="array" ref="AW15">INDEX($AV$1:$AV$100,INT((ROW(A15)-1)/3)+1)</f>
        <v>Election year</v>
      </c>
      <c r="AX15" s="6" t="str" cm="1">
        <f t="array" ref="AX15">INDEX({"OR","RRR","ME"},MOD(ROW(AH15)-1,3)+1)</f>
        <v>ME</v>
      </c>
      <c r="AZ15" s="1" t="str" cm="1">
        <f t="array" ref="AZ15">INDEX($AV$1:$AV$100,INT((ROW(A15)-1)/2)+1)</f>
        <v>Newspaper Pressure</v>
      </c>
      <c r="BA15" s="6" t="str" cm="1">
        <f t="array" ref="BA15">INDEX({"OR / RRR";"ME"}, MOD(ROW(X15)-1, 2)+1)</f>
        <v>OR / RRR</v>
      </c>
    </row>
    <row r="16" spans="1:53" ht="45">
      <c r="A16" s="154" t="s">
        <v>1055</v>
      </c>
      <c r="B16" s="96" t="s">
        <v>878</v>
      </c>
      <c r="C16" s="96" t="s">
        <v>1055</v>
      </c>
      <c r="D16" s="93" t="s">
        <v>879</v>
      </c>
      <c r="E16" s="95">
        <v>2.83</v>
      </c>
      <c r="F16" s="95">
        <v>1.68</v>
      </c>
      <c r="G16" s="95">
        <v>4.79</v>
      </c>
      <c r="H16" s="95"/>
      <c r="I16" s="95"/>
      <c r="J16" s="96">
        <v>1E-3</v>
      </c>
      <c r="K16" s="96" t="s">
        <v>548</v>
      </c>
      <c r="L16" s="92" t="s">
        <v>953</v>
      </c>
      <c r="R16" s="44" t="str">
        <f t="shared" si="13"/>
        <v>Election year</v>
      </c>
      <c r="S16" s="51" t="str">
        <f t="shared" si="2"/>
        <v>ME</v>
      </c>
      <c r="T16" s="51" t="str">
        <f t="shared" si="12"/>
        <v>0-0</v>
      </c>
      <c r="U16" s="51" t="e" cm="1" vm="1">
        <f t="array" ref="U16">_xlfn.TEXTJOIN(", ", TRUE, _xlfn.UNIQUE(_xlfn._xlws.FILTER(K$2:K$100, (A$2:A$100 = R16) * (D$2:D$100 = S16))))</f>
        <v>#VALUE!</v>
      </c>
      <c r="V16" s="51" t="str" cm="1">
        <f t="array" ref="V16">_xlfn.TEXTJOIN(", ", TRUE, _xlfn.UNIQUE(IF((A$2:A$100 = R16) * (D$2:D$100 = S16), L$2:L$100, "")))</f>
        <v/>
      </c>
      <c r="AA16" s="44" t="str">
        <f t="shared" si="0"/>
        <v>Election year</v>
      </c>
      <c r="AB16" s="51" t="str">
        <f t="shared" si="1"/>
        <v>ME</v>
      </c>
      <c r="AC16" s="194" t="e">
        <f t="shared" si="3"/>
        <v>#VALUE!</v>
      </c>
      <c r="AD16" s="51" t="str">
        <f t="shared" si="4"/>
        <v>NA</v>
      </c>
      <c r="AE16" s="51" t="str">
        <f t="shared" si="5"/>
        <v>NA</v>
      </c>
      <c r="AF16" s="51" t="str" cm="1">
        <f t="array" ref="AF16">IFERROR(_xlfn.TEXTJOIN(", ", TRUE, _xlfn.UNIQUE(_xlfn._xlws.FILTER(K$2:K$100, (A$2:A$100 = AA16) * (D$2:D$100 = AB16) * (J$2:J$100 &lt;= 0.05)))), "")</f>
        <v/>
      </c>
      <c r="AG16" s="51" t="str" cm="1">
        <f t="array" ref="AG16">_xlfn.TEXTJOIN(", ", TRUE, _xlfn.UNIQUE(IF((A$2:A$100 = AA16) * (D$2:D$100 = AB16) * ((J$2:J$100 &lt;= 0.05)), L$2:L$100, "")))</f>
        <v/>
      </c>
      <c r="AH16" s="51" t="str">
        <f t="shared" si="6"/>
        <v>ME</v>
      </c>
      <c r="AK16" s="44" t="str">
        <f t="shared" si="14"/>
        <v>Newspaper Pressure</v>
      </c>
      <c r="AL16" s="46" t="str">
        <f t="shared" si="15"/>
        <v>OR / RRR</v>
      </c>
      <c r="AM16" s="194" t="str">
        <f t="shared" si="16"/>
        <v>NO DATA</v>
      </c>
      <c r="AN16" s="200">
        <f t="shared" si="17"/>
        <v>0</v>
      </c>
      <c r="AO16" s="46">
        <f t="shared" si="18"/>
        <v>0</v>
      </c>
      <c r="AP16" s="51" t="str" cm="1">
        <f t="array" ref="AP16">_xlfn.TEXTJOIN(", ", TRUE, _xlfn.UNIQUE(IF((AA$2:AA$100 = AK16) * (AH$2:AH$100 = AL16), AF$2:AF$100, "")))</f>
        <v/>
      </c>
      <c r="AQ16" s="51" t="str" cm="1">
        <f t="array" ref="AQ16">_xlfn.TEXTJOIN(", ", TRUE, _xlfn.UNIQUE(IF((AA$2:AA$100 = AK16) * (AH$2:AH$100 = AL16), AG$2:AG$100, "")))</f>
        <v/>
      </c>
      <c r="AV16" s="6"/>
      <c r="AW16" s="6" cm="1">
        <f t="array" ref="AW16">INDEX($AV$1:$AV$100,INT((ROW(A16)-1)/3)+1)</f>
        <v>0</v>
      </c>
      <c r="AX16" s="6" t="str" cm="1">
        <f t="array" ref="AX16">INDEX({"OR","RRR","ME"},MOD(ROW(AH16)-1,3)+1)</f>
        <v>OR</v>
      </c>
      <c r="AZ16" s="1" t="str" cm="1">
        <f t="array" ref="AZ16">INDEX($AV$1:$AV$100,INT((ROW(A16)-1)/2)+1)</f>
        <v>Newspaper Pressure</v>
      </c>
      <c r="BA16" s="6" t="str" cm="1">
        <f t="array" ref="BA16">INDEX({"OR / RRR";"ME"}, MOD(ROW(X16)-1, 2)+1)</f>
        <v>ME</v>
      </c>
    </row>
    <row r="17" spans="1:53" ht="45">
      <c r="A17" s="107" t="s">
        <v>1056</v>
      </c>
      <c r="B17" s="106" t="s">
        <v>907</v>
      </c>
      <c r="C17" s="96" t="s">
        <v>1057</v>
      </c>
      <c r="D17" s="93" t="s">
        <v>879</v>
      </c>
      <c r="E17" s="95">
        <v>1.1200000000000001</v>
      </c>
      <c r="F17" s="95">
        <v>0.47</v>
      </c>
      <c r="G17" s="95">
        <v>2.57</v>
      </c>
      <c r="H17" s="95"/>
      <c r="I17" s="95"/>
      <c r="J17" s="96">
        <v>0.79</v>
      </c>
      <c r="K17" s="96" t="s">
        <v>365</v>
      </c>
      <c r="L17" s="92" t="s">
        <v>909</v>
      </c>
      <c r="R17" s="44">
        <f t="shared" si="13"/>
        <v>0</v>
      </c>
      <c r="S17" s="51" t="str">
        <f t="shared" si="2"/>
        <v>OR</v>
      </c>
      <c r="T17" s="51" t="str">
        <f t="shared" si="12"/>
        <v>0-0</v>
      </c>
      <c r="U17" s="51" t="e" cm="1" vm="1">
        <f t="array" ref="U17">_xlfn.TEXTJOIN(", ", TRUE, _xlfn.UNIQUE(_xlfn._xlws.FILTER(K$2:K$100, (A$2:A$100 = R17) * (D$2:D$100 = S17))))</f>
        <v>#VALUE!</v>
      </c>
      <c r="V17" s="51" t="str" cm="1">
        <f t="array" ref="V17">_xlfn.TEXTJOIN(", ", TRUE, _xlfn.UNIQUE(IF((A$2:A$100 = R17) * (D$2:D$100 = S17), L$2:L$100, "")))</f>
        <v/>
      </c>
      <c r="AA17" s="44">
        <f t="shared" si="0"/>
        <v>0</v>
      </c>
      <c r="AB17" s="51" t="str">
        <f t="shared" si="1"/>
        <v>OR</v>
      </c>
      <c r="AC17" s="194" t="e">
        <f t="shared" si="3"/>
        <v>#VALUE!</v>
      </c>
      <c r="AD17" s="51" t="str">
        <f t="shared" si="4"/>
        <v>NA</v>
      </c>
      <c r="AE17" s="51" t="str">
        <f t="shared" si="5"/>
        <v>NA</v>
      </c>
      <c r="AF17" s="51" t="str" cm="1">
        <f t="array" ref="AF17">IFERROR(_xlfn.TEXTJOIN(", ", TRUE, _xlfn.UNIQUE(_xlfn._xlws.FILTER(K$2:K$100, (A$2:A$100 = AA17) * (D$2:D$100 = AB17) * (J$2:J$100 &lt;= 0.05)))), "")</f>
        <v/>
      </c>
      <c r="AG17" s="51" t="str" cm="1">
        <f t="array" ref="AG17">_xlfn.TEXTJOIN(", ", TRUE, _xlfn.UNIQUE(IF((A$2:A$100 = AA17) * (D$2:D$100 = AB17) * ((J$2:J$100 &lt;= 0.05)), L$2:L$100, "")))</f>
        <v/>
      </c>
      <c r="AH17" s="51" t="str">
        <f t="shared" si="6"/>
        <v>OR / RRR</v>
      </c>
      <c r="AK17" s="44" t="str">
        <f t="shared" si="14"/>
        <v>Newspaper Pressure</v>
      </c>
      <c r="AL17" s="46" t="str">
        <f t="shared" si="15"/>
        <v>ME</v>
      </c>
      <c r="AM17" s="194" t="str">
        <f t="shared" si="16"/>
        <v>NO DATA</v>
      </c>
      <c r="AN17" s="200">
        <f t="shared" si="17"/>
        <v>0</v>
      </c>
      <c r="AO17" s="46">
        <f t="shared" si="18"/>
        <v>0</v>
      </c>
      <c r="AP17" s="51" t="str" cm="1">
        <f t="array" ref="AP17">_xlfn.TEXTJOIN(", ", TRUE, _xlfn.UNIQUE(IF((AA$2:AA$100 = AK17) * (AH$2:AH$100 = AL17), AF$2:AF$100, "")))</f>
        <v/>
      </c>
      <c r="AQ17" s="51" t="str" cm="1">
        <f t="array" ref="AQ17">_xlfn.TEXTJOIN(", ", TRUE, _xlfn.UNIQUE(IF((AA$2:AA$100 = AK17) * (AH$2:AH$100 = AL17), AG$2:AG$100, "")))</f>
        <v/>
      </c>
      <c r="AV17" s="6"/>
      <c r="AW17" s="6" cm="1">
        <f t="array" ref="AW17">INDEX($AV$1:$AV$100,INT((ROW(A17)-1)/3)+1)</f>
        <v>0</v>
      </c>
      <c r="AX17" s="6" t="str" cm="1">
        <f t="array" ref="AX17">INDEX({"OR","RRR","ME"},MOD(ROW(AH17)-1,3)+1)</f>
        <v>RRR</v>
      </c>
      <c r="AZ17" s="1" t="str" cm="1">
        <f t="array" ref="AZ17">INDEX($AV$1:$AV$100,INT((ROW(A17)-1)/2)+1)</f>
        <v>HTA Submission - Economic Aspect Completeness</v>
      </c>
      <c r="BA17" s="6" t="str" cm="1">
        <f t="array" ref="BA17">INDEX({"OR / RRR";"ME"}, MOD(ROW(X17)-1, 2)+1)</f>
        <v>OR / RRR</v>
      </c>
    </row>
    <row r="18" spans="1:53" ht="90">
      <c r="A18" s="132" t="s">
        <v>1058</v>
      </c>
      <c r="B18" s="108" t="s">
        <v>897</v>
      </c>
      <c r="C18" s="100" t="s">
        <v>1059</v>
      </c>
      <c r="D18" s="93" t="s">
        <v>879</v>
      </c>
      <c r="E18" s="95">
        <v>1.38</v>
      </c>
      <c r="F18" s="95">
        <v>1.07</v>
      </c>
      <c r="G18" s="95">
        <v>1.78</v>
      </c>
      <c r="H18" s="95"/>
      <c r="I18" s="95"/>
      <c r="J18" s="109">
        <v>0.05</v>
      </c>
      <c r="K18" s="100" t="s">
        <v>911</v>
      </c>
      <c r="L18" s="92" t="s">
        <v>912</v>
      </c>
      <c r="R18" s="44">
        <f t="shared" si="13"/>
        <v>0</v>
      </c>
      <c r="S18" s="51" t="str">
        <f t="shared" si="2"/>
        <v>RRR</v>
      </c>
      <c r="T18" s="51" t="str">
        <f t="shared" si="12"/>
        <v>0-0</v>
      </c>
      <c r="U18" s="51" t="e" cm="1" vm="1">
        <f t="array" ref="U18">_xlfn.TEXTJOIN(", ", TRUE, _xlfn.UNIQUE(_xlfn._xlws.FILTER(K$2:K$100, (A$2:A$100 = R18) * (D$2:D$100 = S18))))</f>
        <v>#VALUE!</v>
      </c>
      <c r="V18" s="51" t="str" cm="1">
        <f t="array" ref="V18">_xlfn.TEXTJOIN(", ", TRUE, _xlfn.UNIQUE(IF((A$2:A$100 = R18) * (D$2:D$100 = S18), L$2:L$100, "")))</f>
        <v/>
      </c>
      <c r="AA18" s="44">
        <f t="shared" si="0"/>
        <v>0</v>
      </c>
      <c r="AB18" s="51" t="str">
        <f t="shared" si="1"/>
        <v>RRR</v>
      </c>
      <c r="AC18" s="194" t="e">
        <f t="shared" si="3"/>
        <v>#VALUE!</v>
      </c>
      <c r="AD18" s="51" t="str">
        <f t="shared" si="4"/>
        <v>NA</v>
      </c>
      <c r="AE18" s="51" t="str">
        <f t="shared" si="5"/>
        <v>NA</v>
      </c>
      <c r="AF18" s="51" t="str" cm="1">
        <f t="array" ref="AF18">IFERROR(_xlfn.TEXTJOIN(", ", TRUE, _xlfn.UNIQUE(_xlfn._xlws.FILTER(K$2:K$100, (A$2:A$100 = AA18) * (D$2:D$100 = AB18) * (J$2:J$100 &lt;= 0.05)))), "")</f>
        <v/>
      </c>
      <c r="AG18" s="51" t="str" cm="1">
        <f t="array" ref="AG18">_xlfn.TEXTJOIN(", ", TRUE, _xlfn.UNIQUE(IF((A$2:A$100 = AA18) * (D$2:D$100 = AB18) * ((J$2:J$100 &lt;= 0.05)), L$2:L$100, "")))</f>
        <v/>
      </c>
      <c r="AH18" s="51" t="str">
        <f t="shared" si="6"/>
        <v>OR / RRR</v>
      </c>
      <c r="AK18" s="44" t="str">
        <f t="shared" si="14"/>
        <v>HTA Submission - Economic Aspect Completeness</v>
      </c>
      <c r="AL18" s="46" t="str">
        <f t="shared" si="15"/>
        <v>OR / RRR</v>
      </c>
      <c r="AM18" s="194">
        <f t="shared" si="16"/>
        <v>1.38</v>
      </c>
      <c r="AN18" s="200">
        <f t="shared" si="17"/>
        <v>1.38</v>
      </c>
      <c r="AO18" s="46">
        <f t="shared" si="18"/>
        <v>1.38</v>
      </c>
      <c r="AP18" s="51" t="str" cm="1">
        <f t="array" ref="AP18">_xlfn.TEXTJOIN(", ", TRUE, _xlfn.UNIQUE(IF((AA$2:AA$100 = AK18) * (AH$2:AH$100 = AL18), AF$2:AF$100, "")))</f>
        <v>The Netherlands, New Zealand, Norway, Sweden, UK, USA</v>
      </c>
      <c r="AQ18" s="51" t="str" cm="1">
        <f t="array" ref="AQ18">_xlfn.TEXTJOIN(", ", TRUE, _xlfn.UNIQUE(IF((AA$2:AA$100 = AK18) * (AH$2:AH$100 = AL18), AG$2:AG$100, "")))</f>
        <v>(Draborg &amp; Andersen, 2006)</v>
      </c>
      <c r="AV18" s="6"/>
      <c r="AW18" s="6" cm="1">
        <f t="array" ref="AW18">INDEX($AV$1:$AV$100,INT((ROW(A18)-1)/3)+1)</f>
        <v>0</v>
      </c>
      <c r="AX18" s="6" t="str" cm="1">
        <f t="array" ref="AX18">INDEX({"OR","RRR","ME"},MOD(ROW(AH18)-1,3)+1)</f>
        <v>ME</v>
      </c>
      <c r="AZ18" s="1" t="str" cm="1">
        <f t="array" ref="AZ18">INDEX($AV$1:$AV$100,INT((ROW(A18)-1)/2)+1)</f>
        <v>HTA Submission - Economic Aspect Completeness</v>
      </c>
      <c r="BA18" s="6" t="str" cm="1">
        <f t="array" ref="BA18">INDEX({"OR / RRR";"ME"}, MOD(ROW(X18)-1, 2)+1)</f>
        <v>ME</v>
      </c>
    </row>
    <row r="19" spans="1:53" ht="90">
      <c r="A19" s="132" t="s">
        <v>1060</v>
      </c>
      <c r="B19" s="108" t="s">
        <v>897</v>
      </c>
      <c r="C19" s="100" t="s">
        <v>1061</v>
      </c>
      <c r="D19" s="93" t="s">
        <v>879</v>
      </c>
      <c r="E19" s="95">
        <v>1.17</v>
      </c>
      <c r="F19" s="95">
        <v>0.95</v>
      </c>
      <c r="G19" s="95">
        <v>1.44</v>
      </c>
      <c r="H19" s="95"/>
      <c r="I19" s="95"/>
      <c r="J19" s="109" t="s">
        <v>886</v>
      </c>
      <c r="K19" s="100" t="s">
        <v>911</v>
      </c>
      <c r="L19" s="92" t="s">
        <v>912</v>
      </c>
      <c r="R19" s="44">
        <f t="shared" si="13"/>
        <v>0</v>
      </c>
      <c r="S19" s="51" t="str">
        <f t="shared" si="2"/>
        <v>ME</v>
      </c>
      <c r="T19" s="51" t="str">
        <f t="shared" si="12"/>
        <v>0-0</v>
      </c>
      <c r="U19" s="51" t="e" cm="1" vm="1">
        <f t="array" ref="U19">_xlfn.TEXTJOIN(", ", TRUE, _xlfn.UNIQUE(_xlfn._xlws.FILTER(K$2:K$100, (A$2:A$100 = R19) * (D$2:D$100 = S19))))</f>
        <v>#VALUE!</v>
      </c>
      <c r="V19" s="51" t="str" cm="1">
        <f t="array" ref="V19">_xlfn.TEXTJOIN(", ", TRUE, _xlfn.UNIQUE(IF((A$2:A$100 = R19) * (D$2:D$100 = S19), L$2:L$100, "")))</f>
        <v/>
      </c>
      <c r="AA19" s="44">
        <f t="shared" si="0"/>
        <v>0</v>
      </c>
      <c r="AB19" s="51" t="str">
        <f t="shared" si="1"/>
        <v>ME</v>
      </c>
      <c r="AC19" s="194" t="e">
        <f t="shared" si="3"/>
        <v>#VALUE!</v>
      </c>
      <c r="AD19" s="51" t="str">
        <f t="shared" si="4"/>
        <v>NA</v>
      </c>
      <c r="AE19" s="51" t="str">
        <f t="shared" si="5"/>
        <v>NA</v>
      </c>
      <c r="AF19" s="51" t="str" cm="1">
        <f t="array" ref="AF19">IFERROR(_xlfn.TEXTJOIN(", ", TRUE, _xlfn.UNIQUE(_xlfn._xlws.FILTER(K$2:K$100, (A$2:A$100 = AA19) * (D$2:D$100 = AB19) * (J$2:J$100 &lt;= 0.05)))), "")</f>
        <v/>
      </c>
      <c r="AG19" s="51" t="str" cm="1">
        <f t="array" ref="AG19">_xlfn.TEXTJOIN(", ", TRUE, _xlfn.UNIQUE(IF((A$2:A$100 = AA19) * (D$2:D$100 = AB19) * ((J$2:J$100 &lt;= 0.05)), L$2:L$100, "")))</f>
        <v/>
      </c>
      <c r="AH19" s="51" t="str">
        <f t="shared" si="6"/>
        <v>ME</v>
      </c>
      <c r="AK19" s="44" t="str">
        <f>AZ18</f>
        <v>HTA Submission - Economic Aspect Completeness</v>
      </c>
      <c r="AL19" s="46" t="str">
        <f>BA18</f>
        <v>ME</v>
      </c>
      <c r="AM19" s="194" t="str">
        <f>IF(AN19=AO19, IF(AN19=0, "NO DATA", ROUND(AN19, 2)), ROUND(AN19, 2) &amp; "-" &amp; ROUND(AO19, 2))</f>
        <v>NO DATA</v>
      </c>
      <c r="AN19" s="200">
        <f>_xlfn.MINIFS(AD:AD, AA:AA, AK19, AH:AH, AL19)</f>
        <v>0</v>
      </c>
      <c r="AO19" s="46">
        <f>_xlfn.MAXIFS(AE:AE, AA:AA, AK19, AH:AH, AL19)</f>
        <v>0</v>
      </c>
      <c r="AP19" s="51" t="str" cm="1">
        <f t="array" ref="AP19">_xlfn.TEXTJOIN(", ", TRUE, _xlfn.UNIQUE(IF((AA$2:AA$100 = AK19) * (AH$2:AH$100 = AL19), AF$2:AF$100, "")))</f>
        <v/>
      </c>
      <c r="AQ19" s="51" t="str" cm="1">
        <f t="array" ref="AQ19">_xlfn.TEXTJOIN(", ", TRUE, _xlfn.UNIQUE(IF((AA$2:AA$100 = AK19) * (AH$2:AH$100 = AL19), AG$2:AG$100, "")))</f>
        <v/>
      </c>
      <c r="AV19" s="6"/>
      <c r="AW19" s="6" t="str" cm="1">
        <f t="array" ref="AW19">INDEX($AV$1:$AV$100,INT((ROW(A19)-1)/3)+1)</f>
        <v>Big Company Submission</v>
      </c>
      <c r="AX19" s="6" t="str" cm="1">
        <f t="array" ref="AX19">INDEX({"OR","RRR","ME"},MOD(ROW(AH19)-1,3)+1)</f>
        <v>OR</v>
      </c>
      <c r="AZ19" s="1" t="str" cm="1">
        <f t="array" ref="AZ19">INDEX($AV$1:$AV$100,INT((ROW(A19)-1)/2)+1)</f>
        <v>HTA Aspect - Patient Aspect Completeness</v>
      </c>
      <c r="BA19" s="6" t="str" cm="1">
        <f t="array" ref="BA19">INDEX({"OR / RRR";"ME"}, MOD(ROW(X19)-1, 2)+1)</f>
        <v>OR / RRR</v>
      </c>
    </row>
    <row r="20" spans="1:53" ht="75">
      <c r="A20" s="132" t="s">
        <v>1062</v>
      </c>
      <c r="B20" s="108" t="s">
        <v>897</v>
      </c>
      <c r="C20" s="100" t="s">
        <v>1063</v>
      </c>
      <c r="D20" s="93" t="s">
        <v>879</v>
      </c>
      <c r="E20" s="95">
        <v>1.22</v>
      </c>
      <c r="F20" s="95">
        <v>1.01</v>
      </c>
      <c r="G20" s="95">
        <v>1.46</v>
      </c>
      <c r="H20" s="95"/>
      <c r="I20" s="95"/>
      <c r="J20" s="109">
        <v>0.05</v>
      </c>
      <c r="K20" s="100" t="s">
        <v>911</v>
      </c>
      <c r="L20" s="92" t="s">
        <v>912</v>
      </c>
      <c r="R20" s="44" t="str">
        <f t="shared" si="13"/>
        <v>Big Company Submission</v>
      </c>
      <c r="S20" s="51" t="str">
        <f t="shared" si="2"/>
        <v>OR</v>
      </c>
      <c r="T20" s="51" t="str">
        <f t="shared" si="12"/>
        <v>2,83-2,83</v>
      </c>
      <c r="U20" s="51" t="str" cm="1">
        <f t="array" ref="U20">_xlfn.TEXTJOIN(", ", TRUE, _xlfn.UNIQUE(_xlfn._xlws.FILTER(K$2:K$100, (A$2:A$100 = R20) * (D$2:D$100 = S20))))</f>
        <v>Scotland</v>
      </c>
      <c r="V20" s="51" t="str" cm="1">
        <f t="array" ref="V20">_xlfn.TEXTJOIN(", ", TRUE, _xlfn.UNIQUE(IF((A$2:A$100 = R20) * (D$2:D$100 = S20), L$2:L$100, "")))</f>
        <v>(Charokopou et al., 2015)</v>
      </c>
      <c r="AA20" s="44" t="str">
        <f t="shared" si="0"/>
        <v>Big Company Submission</v>
      </c>
      <c r="AB20" s="51" t="str">
        <f t="shared" si="1"/>
        <v>OR</v>
      </c>
      <c r="AC20" s="194">
        <f t="shared" si="3"/>
        <v>2.83</v>
      </c>
      <c r="AD20" s="51">
        <f t="shared" si="4"/>
        <v>2.83</v>
      </c>
      <c r="AE20" s="51">
        <f t="shared" si="5"/>
        <v>2.83</v>
      </c>
      <c r="AF20" s="51" t="str" cm="1">
        <f t="array" ref="AF20">IFERROR(_xlfn.TEXTJOIN(", ", TRUE, _xlfn.UNIQUE(_xlfn._xlws.FILTER(K$2:K$100, (A$2:A$100 = AA20) * (D$2:D$100 = AB20) * (J$2:J$100 &lt;= 0.05)))), "")</f>
        <v>Scotland</v>
      </c>
      <c r="AG20" s="51" t="str" cm="1">
        <f t="array" ref="AG20">_xlfn.TEXTJOIN(", ", TRUE, _xlfn.UNIQUE(IF((A$2:A$100 = AA20) * (D$2:D$100 = AB20) * ((J$2:J$100 &lt;= 0.05)), L$2:L$100, "")))</f>
        <v>(Charokopou et al., 2015)</v>
      </c>
      <c r="AH20" s="51" t="str">
        <f t="shared" si="6"/>
        <v>OR / RRR</v>
      </c>
      <c r="AK20" s="44" t="str">
        <f t="shared" ref="AK20:AK23" si="19">AZ19</f>
        <v>HTA Aspect - Patient Aspect Completeness</v>
      </c>
      <c r="AL20" s="46" t="str">
        <f t="shared" ref="AL20:AL23" si="20">BA19</f>
        <v>OR / RRR</v>
      </c>
      <c r="AM20" s="194" t="str">
        <f t="shared" ref="AM20:AM23" si="21">IF(AN20=AO20, IF(AN20=0, "NO DATA", ROUND(AN20, 2)), ROUND(AN20, 2) &amp; "-" &amp; ROUND(AO20, 2))</f>
        <v>NO DATA</v>
      </c>
      <c r="AN20" s="200">
        <f t="shared" ref="AN20:AN23" si="22">_xlfn.MINIFS(AD:AD, AA:AA, AK20, AH:AH, AL20)</f>
        <v>0</v>
      </c>
      <c r="AO20" s="46">
        <f t="shared" ref="AO20:AO23" si="23">_xlfn.MAXIFS(AE:AE, AA:AA, AK20, AH:AH, AL20)</f>
        <v>0</v>
      </c>
      <c r="AP20" s="51" t="str" cm="1">
        <f t="array" ref="AP20">_xlfn.TEXTJOIN(", ", TRUE, _xlfn.UNIQUE(IF((AA$2:AA$100 = AK20) * (AH$2:AH$100 = AL20), AF$2:AF$100, "")))</f>
        <v/>
      </c>
      <c r="AQ20" s="51" t="str" cm="1">
        <f t="array" ref="AQ20">_xlfn.TEXTJOIN(", ", TRUE, _xlfn.UNIQUE(IF((AA$2:AA$100 = AK20) * (AH$2:AH$100 = AL20), AG$2:AG$100, "")))</f>
        <v/>
      </c>
      <c r="AV20" s="6"/>
      <c r="AW20" s="6" t="str" cm="1">
        <f t="array" ref="AW20">INDEX($AV$1:$AV$100,INT((ROW(A20)-1)/3)+1)</f>
        <v>Big Company Submission</v>
      </c>
      <c r="AX20" s="6" t="str" cm="1">
        <f t="array" ref="AX20">INDEX({"OR","RRR","ME"},MOD(ROW(AH20)-1,3)+1)</f>
        <v>RRR</v>
      </c>
      <c r="AZ20" s="1" t="str" cm="1">
        <f t="array" ref="AZ20">INDEX($AV$1:$AV$100,INT((ROW(A20)-1)/2)+1)</f>
        <v>HTA Aspect - Patient Aspect Completeness</v>
      </c>
      <c r="BA20" s="6" t="str" cm="1">
        <f t="array" ref="BA20">INDEX({"OR / RRR";"ME"}, MOD(ROW(X20)-1, 2)+1)</f>
        <v>ME</v>
      </c>
    </row>
    <row r="21" spans="1:53" ht="75">
      <c r="A21" s="154" t="s">
        <v>1064</v>
      </c>
      <c r="B21" s="96" t="s">
        <v>1065</v>
      </c>
      <c r="C21" s="96" t="s">
        <v>1064</v>
      </c>
      <c r="D21" s="93" t="s">
        <v>879</v>
      </c>
      <c r="E21" s="95">
        <v>0.05</v>
      </c>
      <c r="F21" s="95">
        <v>0.02</v>
      </c>
      <c r="G21" s="95">
        <v>0.11</v>
      </c>
      <c r="H21" s="95"/>
      <c r="I21" s="95"/>
      <c r="J21" s="96">
        <v>1E-3</v>
      </c>
      <c r="K21" s="96" t="s">
        <v>486</v>
      </c>
      <c r="L21" s="92" t="s">
        <v>1066</v>
      </c>
      <c r="R21" s="44" t="str">
        <f t="shared" si="13"/>
        <v>Big Company Submission</v>
      </c>
      <c r="S21" s="51" t="str">
        <f t="shared" si="2"/>
        <v>RRR</v>
      </c>
      <c r="T21" s="51" t="str">
        <f t="shared" si="12"/>
        <v>0-0</v>
      </c>
      <c r="U21" s="51" t="e" cm="1" vm="1">
        <f t="array" ref="U21">_xlfn.TEXTJOIN(", ", TRUE, _xlfn.UNIQUE(_xlfn._xlws.FILTER(K$2:K$100, (A$2:A$100 = R21) * (D$2:D$100 = S21))))</f>
        <v>#VALUE!</v>
      </c>
      <c r="V21" s="51" t="str" cm="1">
        <f t="array" ref="V21">_xlfn.TEXTJOIN(", ", TRUE, _xlfn.UNIQUE(IF((A$2:A$100 = R21) * (D$2:D$100 = S21), L$2:L$100, "")))</f>
        <v/>
      </c>
      <c r="AA21" s="44" t="str">
        <f t="shared" si="0"/>
        <v>Big Company Submission</v>
      </c>
      <c r="AB21" s="51" t="str">
        <f t="shared" si="1"/>
        <v>RRR</v>
      </c>
      <c r="AC21" s="194" t="e">
        <f t="shared" si="3"/>
        <v>#VALUE!</v>
      </c>
      <c r="AD21" s="51" t="str">
        <f t="shared" si="4"/>
        <v>NA</v>
      </c>
      <c r="AE21" s="51" t="str">
        <f t="shared" si="5"/>
        <v>NA</v>
      </c>
      <c r="AF21" s="51" t="str" cm="1">
        <f t="array" ref="AF21">IFERROR(_xlfn.TEXTJOIN(", ", TRUE, _xlfn.UNIQUE(_xlfn._xlws.FILTER(K$2:K$100, (A$2:A$100 = AA21) * (D$2:D$100 = AB21) * (J$2:J$100 &lt;= 0.05)))), "")</f>
        <v/>
      </c>
      <c r="AG21" s="51" t="str" cm="1">
        <f t="array" ref="AG21">_xlfn.TEXTJOIN(", ", TRUE, _xlfn.UNIQUE(IF((A$2:A$100 = AA21) * (D$2:D$100 = AB21) * ((J$2:J$100 &lt;= 0.05)), L$2:L$100, "")))</f>
        <v/>
      </c>
      <c r="AH21" s="51" t="str">
        <f t="shared" si="6"/>
        <v>OR / RRR</v>
      </c>
      <c r="AK21" s="44" t="str">
        <f t="shared" si="19"/>
        <v>HTA Aspect - Patient Aspect Completeness</v>
      </c>
      <c r="AL21" s="46" t="str">
        <f t="shared" si="20"/>
        <v>ME</v>
      </c>
      <c r="AM21" s="194" t="str">
        <f t="shared" si="21"/>
        <v>NO DATA</v>
      </c>
      <c r="AN21" s="200">
        <f t="shared" si="22"/>
        <v>0</v>
      </c>
      <c r="AO21" s="46">
        <f t="shared" si="23"/>
        <v>0</v>
      </c>
      <c r="AP21" s="51" t="str" cm="1">
        <f t="array" ref="AP21">_xlfn.TEXTJOIN(", ", TRUE, _xlfn.UNIQUE(IF((AA$2:AA$100 = AK21) * (AH$2:AH$100 = AL21), AF$2:AF$100, "")))</f>
        <v/>
      </c>
      <c r="AQ21" s="51" t="str" cm="1">
        <f t="array" ref="AQ21">_xlfn.TEXTJOIN(", ", TRUE, _xlfn.UNIQUE(IF((AA$2:AA$100 = AK21) * (AH$2:AH$100 = AL21), AG$2:AG$100, "")))</f>
        <v/>
      </c>
      <c r="AV21" s="6"/>
      <c r="AW21" s="6" t="str" cm="1">
        <f t="array" ref="AW21">INDEX($AV$1:$AV$100,INT((ROW(A21)-1)/3)+1)</f>
        <v>Big Company Submission</v>
      </c>
      <c r="AX21" s="6" t="str" cm="1">
        <f t="array" ref="AX21">INDEX({"OR","RRR","ME"},MOD(ROW(AH21)-1,3)+1)</f>
        <v>ME</v>
      </c>
      <c r="AZ21" s="1" t="str" cm="1">
        <f t="array" ref="AZ21">INDEX($AV$1:$AV$100,INT((ROW(A21)-1)/2)+1)</f>
        <v>HTA Aspect - Organizational Aspect Completeness</v>
      </c>
      <c r="BA21" s="6" t="str" cm="1">
        <f t="array" ref="BA21">INDEX({"OR / RRR";"ME"}, MOD(ROW(X21)-1, 2)+1)</f>
        <v>OR / RRR</v>
      </c>
    </row>
    <row r="22" spans="1:53" ht="75">
      <c r="A22" s="132" t="s">
        <v>1067</v>
      </c>
      <c r="B22" s="125" t="s">
        <v>897</v>
      </c>
      <c r="C22" s="100" t="s">
        <v>1068</v>
      </c>
      <c r="D22" s="93" t="s">
        <v>879</v>
      </c>
      <c r="E22" s="95">
        <v>1.25</v>
      </c>
      <c r="F22" s="95">
        <v>0.97</v>
      </c>
      <c r="G22" s="95">
        <v>1.61</v>
      </c>
      <c r="H22" s="95"/>
      <c r="I22" s="95"/>
      <c r="J22" s="109">
        <v>0.05</v>
      </c>
      <c r="K22" s="100" t="s">
        <v>911</v>
      </c>
      <c r="L22" s="92" t="s">
        <v>912</v>
      </c>
      <c r="R22" s="44" t="str">
        <f t="shared" si="13"/>
        <v>Big Company Submission</v>
      </c>
      <c r="S22" s="51" t="str">
        <f t="shared" si="2"/>
        <v>ME</v>
      </c>
      <c r="T22" s="51" t="str">
        <f t="shared" si="12"/>
        <v>0-0</v>
      </c>
      <c r="U22" s="51" t="e" cm="1" vm="1">
        <f t="array" ref="U22">_xlfn.TEXTJOIN(", ", TRUE, _xlfn.UNIQUE(_xlfn._xlws.FILTER(K$2:K$100, (A$2:A$100 = R22) * (D$2:D$100 = S22))))</f>
        <v>#VALUE!</v>
      </c>
      <c r="V22" s="51" t="str" cm="1">
        <f t="array" ref="V22">_xlfn.TEXTJOIN(", ", TRUE, _xlfn.UNIQUE(IF((A$2:A$100 = R22) * (D$2:D$100 = S22), L$2:L$100, "")))</f>
        <v/>
      </c>
      <c r="AA22" s="44" t="str">
        <f t="shared" si="0"/>
        <v>Big Company Submission</v>
      </c>
      <c r="AB22" s="51" t="str">
        <f t="shared" si="1"/>
        <v>ME</v>
      </c>
      <c r="AC22" s="194" t="e">
        <f t="shared" si="3"/>
        <v>#VALUE!</v>
      </c>
      <c r="AD22" s="51" t="str">
        <f t="shared" si="4"/>
        <v>NA</v>
      </c>
      <c r="AE22" s="51" t="str">
        <f t="shared" si="5"/>
        <v>NA</v>
      </c>
      <c r="AF22" s="51" t="str" cm="1">
        <f t="array" ref="AF22">IFERROR(_xlfn.TEXTJOIN(", ", TRUE, _xlfn.UNIQUE(_xlfn._xlws.FILTER(K$2:K$100, (A$2:A$100 = AA22) * (D$2:D$100 = AB22) * (J$2:J$100 &lt;= 0.05)))), "")</f>
        <v/>
      </c>
      <c r="AG22" s="51" t="str" cm="1">
        <f t="array" ref="AG22">_xlfn.TEXTJOIN(", ", TRUE, _xlfn.UNIQUE(IF((A$2:A$100 = AA22) * (D$2:D$100 = AB22) * ((J$2:J$100 &lt;= 0.05)), L$2:L$100, "")))</f>
        <v/>
      </c>
      <c r="AH22" s="51" t="str">
        <f t="shared" si="6"/>
        <v>ME</v>
      </c>
      <c r="AK22" s="44" t="str">
        <f t="shared" si="19"/>
        <v>HTA Aspect - Organizational Aspect Completeness</v>
      </c>
      <c r="AL22" s="46" t="str">
        <f t="shared" si="20"/>
        <v>OR / RRR</v>
      </c>
      <c r="AM22" s="194">
        <f t="shared" si="21"/>
        <v>1.22</v>
      </c>
      <c r="AN22" s="200">
        <f t="shared" si="22"/>
        <v>1.22</v>
      </c>
      <c r="AO22" s="46">
        <f t="shared" si="23"/>
        <v>1.22</v>
      </c>
      <c r="AP22" s="51" t="str" cm="1">
        <f t="array" ref="AP22">_xlfn.TEXTJOIN(", ", TRUE, _xlfn.UNIQUE(IF((AA$2:AA$100 = AK22) * (AH$2:AH$100 = AL22), AF$2:AF$100, "")))</f>
        <v>The Netherlands, New Zealand, Norway, Sweden, UK, USA</v>
      </c>
      <c r="AQ22" s="51" t="str" cm="1">
        <f t="array" ref="AQ22">_xlfn.TEXTJOIN(", ", TRUE, _xlfn.UNIQUE(IF((AA$2:AA$100 = AK22) * (AH$2:AH$100 = AL22), AG$2:AG$100, "")))</f>
        <v>(Draborg &amp; Andersen, 2006)</v>
      </c>
      <c r="AV22" s="6"/>
      <c r="AW22" s="6" t="str" cm="1">
        <f t="array" ref="AW22">INDEX($AV$1:$AV$100,INT((ROW(A22)-1)/3)+1)</f>
        <v>Newspaper Pressure</v>
      </c>
      <c r="AX22" s="6" t="str" cm="1">
        <f t="array" ref="AX22">INDEX({"OR","RRR","ME"},MOD(ROW(AH22)-1,3)+1)</f>
        <v>OR</v>
      </c>
      <c r="AZ22" s="1" t="str" cm="1">
        <f t="array" ref="AZ22">INDEX($AV$1:$AV$100,INT((ROW(A22)-1)/2)+1)</f>
        <v>HTA Aspect - Organizational Aspect Completeness</v>
      </c>
      <c r="BA22" s="6" t="str" cm="1">
        <f t="array" ref="BA22">INDEX({"OR / RRR";"ME"}, MOD(ROW(X22)-1, 2)+1)</f>
        <v>ME</v>
      </c>
    </row>
    <row r="23" spans="1:53" ht="75">
      <c r="A23" s="154" t="s">
        <v>1069</v>
      </c>
      <c r="B23" s="96" t="s">
        <v>878</v>
      </c>
      <c r="C23" s="96" t="s">
        <v>1069</v>
      </c>
      <c r="D23" s="93" t="s">
        <v>879</v>
      </c>
      <c r="E23" s="95">
        <v>0.42599999999999999</v>
      </c>
      <c r="F23" s="95">
        <v>0.185</v>
      </c>
      <c r="G23" s="95">
        <v>0.97499999999999998</v>
      </c>
      <c r="H23" s="95"/>
      <c r="I23" s="95"/>
      <c r="J23" s="96">
        <v>0.05</v>
      </c>
      <c r="K23" s="96" t="s">
        <v>840</v>
      </c>
      <c r="L23" s="92" t="s">
        <v>889</v>
      </c>
      <c r="R23" s="44" t="str">
        <f t="shared" si="13"/>
        <v>Newspaper Pressure</v>
      </c>
      <c r="S23" s="51" t="str">
        <f t="shared" si="2"/>
        <v>OR</v>
      </c>
      <c r="T23" s="51" t="str">
        <f t="shared" si="12"/>
        <v>1,12-1,12</v>
      </c>
      <c r="U23" s="51" t="str" cm="1">
        <f t="array" ref="U23">_xlfn.TEXTJOIN(", ", TRUE, _xlfn.UNIQUE(_xlfn._xlws.FILTER(K$2:K$100, (A$2:A$100 = R23) * (D$2:D$100 = S23))))</f>
        <v>Australia</v>
      </c>
      <c r="V23" s="51" t="str" cm="1">
        <f t="array" ref="V23">_xlfn.TEXTJOIN(", ", TRUE, _xlfn.UNIQUE(IF((A$2:A$100 = R23) * (D$2:D$100 = S23), L$2:L$100, "")))</f>
        <v>(A. Harris et al., 2016)</v>
      </c>
      <c r="AA23" s="44" t="str">
        <f t="shared" si="0"/>
        <v>Newspaper Pressure</v>
      </c>
      <c r="AB23" s="51" t="str">
        <f t="shared" si="1"/>
        <v>OR</v>
      </c>
      <c r="AC23" s="194" t="e">
        <f t="shared" si="3"/>
        <v>#VALUE!</v>
      </c>
      <c r="AD23" s="51" t="str">
        <f t="shared" si="4"/>
        <v>NA</v>
      </c>
      <c r="AE23" s="51" t="str">
        <f t="shared" si="5"/>
        <v>NA</v>
      </c>
      <c r="AF23" s="51" t="str" cm="1">
        <f t="array" ref="AF23">IFERROR(_xlfn.TEXTJOIN(", ", TRUE, _xlfn.UNIQUE(_xlfn._xlws.FILTER(K$2:K$100, (A$2:A$100 = AA23) * (D$2:D$100 = AB23) * (J$2:J$100 &lt;= 0.05)))), "")</f>
        <v/>
      </c>
      <c r="AG23" s="51" t="str" cm="1">
        <f t="array" ref="AG23">_xlfn.TEXTJOIN(", ", TRUE, _xlfn.UNIQUE(IF((A$2:A$100 = AA23) * (D$2:D$100 = AB23) * ((J$2:J$100 &lt;= 0.05)), L$2:L$100, "")))</f>
        <v/>
      </c>
      <c r="AH23" s="51" t="str">
        <f t="shared" si="6"/>
        <v>OR / RRR</v>
      </c>
      <c r="AK23" s="44" t="str">
        <f t="shared" si="19"/>
        <v>HTA Aspect - Organizational Aspect Completeness</v>
      </c>
      <c r="AL23" s="46" t="str">
        <f t="shared" si="20"/>
        <v>ME</v>
      </c>
      <c r="AM23" s="194" t="str">
        <f t="shared" si="21"/>
        <v>NO DATA</v>
      </c>
      <c r="AN23" s="200">
        <f t="shared" si="22"/>
        <v>0</v>
      </c>
      <c r="AO23" s="46">
        <f t="shared" si="23"/>
        <v>0</v>
      </c>
      <c r="AP23" s="51" t="str" cm="1">
        <f t="array" ref="AP23">_xlfn.TEXTJOIN(", ", TRUE, _xlfn.UNIQUE(IF((AA$2:AA$100 = AK23) * (AH$2:AH$100 = AL23), AF$2:AF$100, "")))</f>
        <v/>
      </c>
      <c r="AQ23" s="51" t="str" cm="1">
        <f t="array" ref="AQ23">_xlfn.TEXTJOIN(", ", TRUE, _xlfn.UNIQUE(IF((AA$2:AA$100 = AK23) * (AH$2:AH$100 = AL23), AG$2:AG$100, "")))</f>
        <v/>
      </c>
      <c r="AV23" s="6"/>
      <c r="AW23" s="6" t="str" cm="1">
        <f t="array" ref="AW23">INDEX($AV$1:$AV$100,INT((ROW(A23)-1)/3)+1)</f>
        <v>Newspaper Pressure</v>
      </c>
      <c r="AX23" s="6" t="str" cm="1">
        <f t="array" ref="AX23">INDEX({"OR","RRR","ME"},MOD(ROW(AH23)-1,3)+1)</f>
        <v>RRR</v>
      </c>
      <c r="AZ23" s="1" t="str" cm="1">
        <f t="array" ref="AZ23">INDEX($AV$1:$AV$100,INT((ROW(A23)-1)/2)+1)</f>
        <v>Legal Act Required for Positive Decision</v>
      </c>
      <c r="BA23" s="6" t="str" cm="1">
        <f t="array" ref="BA23">INDEX({"OR / RRR";"ME"}, MOD(ROW(X23)-1, 2)+1)</f>
        <v>OR / RRR</v>
      </c>
    </row>
    <row r="24" spans="1:53" ht="60">
      <c r="A24" s="111" t="s">
        <v>1035</v>
      </c>
      <c r="B24" s="106" t="s">
        <v>885</v>
      </c>
      <c r="C24" s="96" t="s">
        <v>1070</v>
      </c>
      <c r="D24" s="93" t="s">
        <v>879</v>
      </c>
      <c r="E24" s="95">
        <v>0.28999999999999998</v>
      </c>
      <c r="F24" s="95">
        <v>0.06</v>
      </c>
      <c r="G24" s="95">
        <v>1.31</v>
      </c>
      <c r="H24" s="128"/>
      <c r="I24" s="128"/>
      <c r="J24" s="96">
        <v>0.109</v>
      </c>
      <c r="K24" s="96" t="s">
        <v>216</v>
      </c>
      <c r="L24" s="92" t="s">
        <v>991</v>
      </c>
      <c r="R24" s="44" t="str">
        <f t="shared" si="13"/>
        <v>Newspaper Pressure</v>
      </c>
      <c r="S24" s="51" t="str">
        <f t="shared" si="2"/>
        <v>RRR</v>
      </c>
      <c r="T24" s="51" t="str">
        <f t="shared" si="12"/>
        <v>0-0</v>
      </c>
      <c r="U24" s="51" t="e" cm="1" vm="1">
        <f t="array" ref="U24">_xlfn.TEXTJOIN(", ", TRUE, _xlfn.UNIQUE(_xlfn._xlws.FILTER(K$2:K$100, (A$2:A$100 = R24) * (D$2:D$100 = S24))))</f>
        <v>#VALUE!</v>
      </c>
      <c r="V24" s="51" t="str" cm="1">
        <f t="array" ref="V24">_xlfn.TEXTJOIN(", ", TRUE, _xlfn.UNIQUE(IF((A$2:A$100 = R24) * (D$2:D$100 = S24), L$2:L$100, "")))</f>
        <v/>
      </c>
      <c r="AA24" s="44" t="str">
        <f t="shared" si="0"/>
        <v>Newspaper Pressure</v>
      </c>
      <c r="AB24" s="51" t="str">
        <f t="shared" si="1"/>
        <v>RRR</v>
      </c>
      <c r="AC24" s="194" t="e">
        <f t="shared" si="3"/>
        <v>#VALUE!</v>
      </c>
      <c r="AD24" s="51" t="str">
        <f t="shared" si="4"/>
        <v>NA</v>
      </c>
      <c r="AE24" s="51" t="str">
        <f t="shared" si="5"/>
        <v>NA</v>
      </c>
      <c r="AF24" s="51" t="str" cm="1">
        <f t="array" ref="AF24">IFERROR(_xlfn.TEXTJOIN(", ", TRUE, _xlfn.UNIQUE(_xlfn._xlws.FILTER(K$2:K$100, (A$2:A$100 = AA24) * (D$2:D$100 = AB24) * (J$2:J$100 &lt;= 0.05)))), "")</f>
        <v/>
      </c>
      <c r="AG24" s="51" t="str" cm="1">
        <f t="array" ref="AG24">_xlfn.TEXTJOIN(", ", TRUE, _xlfn.UNIQUE(IF((A$2:A$100 = AA24) * (D$2:D$100 = AB24) * ((J$2:J$100 &lt;= 0.05)), L$2:L$100, "")))</f>
        <v/>
      </c>
      <c r="AH24" s="51" t="str">
        <f t="shared" si="6"/>
        <v>OR / RRR</v>
      </c>
      <c r="AK24" s="44" t="str">
        <f>AZ23</f>
        <v>Legal Act Required for Positive Decision</v>
      </c>
      <c r="AL24" s="46" t="str">
        <f>BA23</f>
        <v>OR / RRR</v>
      </c>
      <c r="AM24" s="194">
        <f>IF(AN24=AO24, IF(AN24=0, "NO DATA", ROUND(AN24, 2)), ROUND(AN24, 2) &amp; "-" &amp; ROUND(AO24, 2))</f>
        <v>0.05</v>
      </c>
      <c r="AN24" s="200">
        <f>_xlfn.MINIFS(AD:AD, AA:AA, AK24, AH:AH, AL24)</f>
        <v>0.05</v>
      </c>
      <c r="AO24" s="46">
        <f>_xlfn.MAXIFS(AE:AE, AA:AA, AK24, AH:AH, AL24)</f>
        <v>0.05</v>
      </c>
      <c r="AP24" s="51" t="str" cm="1">
        <f t="array" ref="AP24">_xlfn.TEXTJOIN(", ", TRUE, _xlfn.UNIQUE(IF((AA$2:AA$100 = AK24) * (AH$2:AH$100 = AL24), AF$2:AF$100, "")))</f>
        <v>Hungary</v>
      </c>
      <c r="AQ24" s="51" t="str" cm="1">
        <f t="array" ref="AQ24">_xlfn.TEXTJOIN(", ", TRUE, _xlfn.UNIQUE(IF((AA$2:AA$100 = AK24) * (AH$2:AH$100 = AL24), AG$2:AG$100, "")))</f>
        <v>(Merész &amp; Gaál, 2023)</v>
      </c>
      <c r="AV24" s="6"/>
      <c r="AW24" s="6" t="str" cm="1">
        <f t="array" ref="AW24">INDEX($AV$1:$AV$100,INT((ROW(A24)-1)/3)+1)</f>
        <v>Newspaper Pressure</v>
      </c>
      <c r="AX24" s="6" t="str" cm="1">
        <f t="array" ref="AX24">INDEX({"OR","RRR","ME"},MOD(ROW(AH24)-1,3)+1)</f>
        <v>ME</v>
      </c>
      <c r="AZ24" s="1" t="str" cm="1">
        <f t="array" ref="AZ24">INDEX($AV$1:$AV$100,INT((ROW(A24)-1)/2)+1)</f>
        <v>Legal Act Required for Positive Decision</v>
      </c>
      <c r="BA24" s="6" t="str" cm="1">
        <f t="array" ref="BA24">INDEX({"OR / RRR";"ME"}, MOD(ROW(X24)-1, 2)+1)</f>
        <v>ME</v>
      </c>
    </row>
    <row r="25" spans="1:53" ht="60">
      <c r="R25" s="44" t="str">
        <f t="shared" si="13"/>
        <v>Newspaper Pressure</v>
      </c>
      <c r="S25" s="51" t="str">
        <f t="shared" si="2"/>
        <v>ME</v>
      </c>
      <c r="T25" s="51" t="str">
        <f t="shared" si="12"/>
        <v>0-0</v>
      </c>
      <c r="U25" s="51" t="e" cm="1" vm="1">
        <f t="array" ref="U25">_xlfn.TEXTJOIN(", ", TRUE, _xlfn.UNIQUE(_xlfn._xlws.FILTER(K$2:K$100, (A$2:A$100 = R25) * (D$2:D$100 = S25))))</f>
        <v>#VALUE!</v>
      </c>
      <c r="V25" s="51" t="str" cm="1">
        <f t="array" ref="V25">_xlfn.TEXTJOIN(", ", TRUE, _xlfn.UNIQUE(IF((A$2:A$100 = R25) * (D$2:D$100 = S25), L$2:L$100, "")))</f>
        <v/>
      </c>
      <c r="AA25" s="44" t="str">
        <f t="shared" si="0"/>
        <v>Newspaper Pressure</v>
      </c>
      <c r="AB25" s="51" t="str">
        <f t="shared" si="1"/>
        <v>ME</v>
      </c>
      <c r="AC25" s="194" t="e">
        <f t="shared" si="3"/>
        <v>#VALUE!</v>
      </c>
      <c r="AD25" s="51" t="str">
        <f t="shared" si="4"/>
        <v>NA</v>
      </c>
      <c r="AE25" s="51" t="str">
        <f t="shared" si="5"/>
        <v>NA</v>
      </c>
      <c r="AF25" s="51" t="str" cm="1">
        <f t="array" ref="AF25">IFERROR(_xlfn.TEXTJOIN(", ", TRUE, _xlfn.UNIQUE(_xlfn._xlws.FILTER(K$2:K$100, (A$2:A$100 = AA25) * (D$2:D$100 = AB25) * (J$2:J$100 &lt;= 0.05)))), "")</f>
        <v/>
      </c>
      <c r="AG25" s="51" t="str" cm="1">
        <f t="array" ref="AG25">_xlfn.TEXTJOIN(", ", TRUE, _xlfn.UNIQUE(IF((A$2:A$100 = AA25) * (D$2:D$100 = AB25) * ((J$2:J$100 &lt;= 0.05)), L$2:L$100, "")))</f>
        <v/>
      </c>
      <c r="AH25" s="51" t="str">
        <f t="shared" si="6"/>
        <v>ME</v>
      </c>
      <c r="AK25" s="44" t="str">
        <f t="shared" ref="AK25:AK29" si="24">AZ24</f>
        <v>Legal Act Required for Positive Decision</v>
      </c>
      <c r="AL25" s="46" t="str">
        <f t="shared" ref="AL25:AL29" si="25">BA24</f>
        <v>ME</v>
      </c>
      <c r="AM25" s="194" t="str">
        <f t="shared" ref="AM25:AM29" si="26">IF(AN25=AO25, IF(AN25=0, "NO DATA", ROUND(AN25, 2)), ROUND(AN25, 2) &amp; "-" &amp; ROUND(AO25, 2))</f>
        <v>NO DATA</v>
      </c>
      <c r="AN25" s="200">
        <f t="shared" ref="AN25:AN29" si="27">_xlfn.MINIFS(AD:AD, AA:AA, AK25, AH:AH, AL25)</f>
        <v>0</v>
      </c>
      <c r="AO25" s="46">
        <f t="shared" ref="AO25:AO29" si="28">_xlfn.MAXIFS(AE:AE, AA:AA, AK25, AH:AH, AL25)</f>
        <v>0</v>
      </c>
      <c r="AP25" s="51" t="str" cm="1">
        <f t="array" ref="AP25">_xlfn.TEXTJOIN(", ", TRUE, _xlfn.UNIQUE(IF((AA$2:AA$100 = AK25) * (AH$2:AH$100 = AL25), AF$2:AF$100, "")))</f>
        <v/>
      </c>
      <c r="AQ25" s="51" t="str" cm="1">
        <f t="array" ref="AQ25">_xlfn.TEXTJOIN(", ", TRUE, _xlfn.UNIQUE(IF((AA$2:AA$100 = AK25) * (AH$2:AH$100 = AL25), AG$2:AG$100, "")))</f>
        <v/>
      </c>
      <c r="AV25" s="6"/>
      <c r="AW25" s="6" t="str" cm="1">
        <f t="array" ref="AW25">INDEX($AV$1:$AV$100,INT((ROW(A25)-1)/3)+1)</f>
        <v>HTA Submission - Economic Aspect Completeness</v>
      </c>
      <c r="AX25" s="6" t="str" cm="1">
        <f t="array" ref="AX25">INDEX({"OR","RRR","ME"},MOD(ROW(AH25)-1,3)+1)</f>
        <v>OR</v>
      </c>
      <c r="AZ25" s="1" t="str" cm="1">
        <f t="array" ref="AZ25">INDEX($AV$1:$AV$100,INT((ROW(A25)-1)/2)+1)</f>
        <v>HTA Aspect - Technological Aspect Completeness</v>
      </c>
      <c r="BA25" s="6" t="str" cm="1">
        <f t="array" ref="BA25">INDEX({"OR / RRR";"ME"}, MOD(ROW(X25)-1, 2)+1)</f>
        <v>OR / RRR</v>
      </c>
    </row>
    <row r="26" spans="1:53" ht="75">
      <c r="R26" s="44" t="str">
        <f t="shared" si="13"/>
        <v>HTA Submission - Economic Aspect Completeness</v>
      </c>
      <c r="S26" s="51" t="str">
        <f t="shared" si="2"/>
        <v>OR</v>
      </c>
      <c r="T26" s="51" t="str">
        <f t="shared" si="12"/>
        <v>1,38-1,38</v>
      </c>
      <c r="U26" s="51" t="str" cm="1">
        <f t="array" ref="U26">_xlfn.TEXTJOIN(", ", TRUE, _xlfn.UNIQUE(_xlfn._xlws.FILTER(K$2:K$100, (A$2:A$100 = R26) * (D$2:D$100 = S26))))</f>
        <v>The Netherlands, New Zealand, Norway, Sweden, UK, USA</v>
      </c>
      <c r="V26" s="51" t="str" cm="1">
        <f t="array" ref="V26">_xlfn.TEXTJOIN(", ", TRUE, _xlfn.UNIQUE(IF((A$2:A$100 = R26) * (D$2:D$100 = S26), L$2:L$100, "")))</f>
        <v>(Draborg &amp; Andersen, 2006)</v>
      </c>
      <c r="AA26" s="44" t="str">
        <f t="shared" si="0"/>
        <v>HTA Submission - Economic Aspect Completeness</v>
      </c>
      <c r="AB26" s="51" t="str">
        <f t="shared" si="1"/>
        <v>OR</v>
      </c>
      <c r="AC26" s="194">
        <f t="shared" si="3"/>
        <v>1.38</v>
      </c>
      <c r="AD26" s="51">
        <f t="shared" si="4"/>
        <v>1.38</v>
      </c>
      <c r="AE26" s="51">
        <f t="shared" si="5"/>
        <v>1.38</v>
      </c>
      <c r="AF26" s="51" t="str" cm="1">
        <f t="array" ref="AF26">IFERROR(_xlfn.TEXTJOIN(", ", TRUE, _xlfn.UNIQUE(_xlfn._xlws.FILTER(K$2:K$100, (A$2:A$100 = AA26) * (D$2:D$100 = AB26) * (J$2:J$100 &lt;= 0.05)))), "")</f>
        <v>The Netherlands, New Zealand, Norway, Sweden, UK, USA</v>
      </c>
      <c r="AG26" s="51" t="str" cm="1">
        <f t="array" ref="AG26">_xlfn.TEXTJOIN(", ", TRUE, _xlfn.UNIQUE(IF((A$2:A$100 = AA26) * (D$2:D$100 = AB26) * ((J$2:J$100 &lt;= 0.05)), L$2:L$100, "")))</f>
        <v>(Draborg &amp; Andersen, 2006)</v>
      </c>
      <c r="AH26" s="51" t="str">
        <f t="shared" si="6"/>
        <v>OR / RRR</v>
      </c>
      <c r="AK26" s="44" t="str">
        <f t="shared" si="24"/>
        <v>HTA Aspect - Technological Aspect Completeness</v>
      </c>
      <c r="AL26" s="46" t="str">
        <f t="shared" si="25"/>
        <v>OR / RRR</v>
      </c>
      <c r="AM26" s="194">
        <f t="shared" si="26"/>
        <v>1.25</v>
      </c>
      <c r="AN26" s="200">
        <f t="shared" si="27"/>
        <v>1.25</v>
      </c>
      <c r="AO26" s="46">
        <f t="shared" si="28"/>
        <v>1.25</v>
      </c>
      <c r="AP26" s="51" t="str" cm="1">
        <f t="array" ref="AP26">_xlfn.TEXTJOIN(", ", TRUE, _xlfn.UNIQUE(IF((AA$2:AA$100 = AK26) * (AH$2:AH$100 = AL26), AF$2:AF$100, "")))</f>
        <v>The Netherlands, New Zealand, Norway, Sweden, UK, USA</v>
      </c>
      <c r="AQ26" s="51" t="str" cm="1">
        <f t="array" ref="AQ26">_xlfn.TEXTJOIN(", ", TRUE, _xlfn.UNIQUE(IF((AA$2:AA$100 = AK26) * (AH$2:AH$100 = AL26), AG$2:AG$100, "")))</f>
        <v>(Draborg &amp; Andersen, 2006)</v>
      </c>
      <c r="AV26" s="6"/>
      <c r="AW26" s="6" t="str" cm="1">
        <f t="array" ref="AW26">INDEX($AV$1:$AV$100,INT((ROW(A26)-1)/3)+1)</f>
        <v>HTA Submission - Economic Aspect Completeness</v>
      </c>
      <c r="AX26" s="6" t="str" cm="1">
        <f t="array" ref="AX26">INDEX({"OR","RRR","ME"},MOD(ROW(AH26)-1,3)+1)</f>
        <v>RRR</v>
      </c>
      <c r="AZ26" s="1" t="str" cm="1">
        <f t="array" ref="AZ26">INDEX($AV$1:$AV$100,INT((ROW(A26)-1)/2)+1)</f>
        <v>HTA Aspect - Technological Aspect Completeness</v>
      </c>
      <c r="BA26" s="6" t="str" cm="1">
        <f t="array" ref="BA26">INDEX({"OR / RRR";"ME"}, MOD(ROW(X26)-1, 2)+1)</f>
        <v>ME</v>
      </c>
    </row>
    <row r="27" spans="1:53" ht="75">
      <c r="R27" s="44" t="str">
        <f t="shared" si="13"/>
        <v>HTA Submission - Economic Aspect Completeness</v>
      </c>
      <c r="S27" s="51" t="str">
        <f t="shared" si="2"/>
        <v>RRR</v>
      </c>
      <c r="T27" s="51" t="str">
        <f t="shared" si="12"/>
        <v>0-0</v>
      </c>
      <c r="U27" s="51" t="e" cm="1" vm="1">
        <f t="array" ref="U27">_xlfn.TEXTJOIN(", ", TRUE, _xlfn.UNIQUE(_xlfn._xlws.FILTER(K$2:K$100, (A$2:A$100 = R27) * (D$2:D$100 = S27))))</f>
        <v>#VALUE!</v>
      </c>
      <c r="V27" s="51" t="str" cm="1">
        <f t="array" ref="V27">_xlfn.TEXTJOIN(", ", TRUE, _xlfn.UNIQUE(IF((A$2:A$100 = R27) * (D$2:D$100 = S27), L$2:L$100, "")))</f>
        <v/>
      </c>
      <c r="AA27" s="44" t="str">
        <f t="shared" si="0"/>
        <v>HTA Submission - Economic Aspect Completeness</v>
      </c>
      <c r="AB27" s="51" t="str">
        <f t="shared" si="1"/>
        <v>RRR</v>
      </c>
      <c r="AC27" s="194" t="e">
        <f t="shared" si="3"/>
        <v>#VALUE!</v>
      </c>
      <c r="AD27" s="51" t="str">
        <f t="shared" si="4"/>
        <v>NA</v>
      </c>
      <c r="AE27" s="51" t="str">
        <f t="shared" si="5"/>
        <v>NA</v>
      </c>
      <c r="AF27" s="51" t="str" cm="1">
        <f t="array" ref="AF27">IFERROR(_xlfn.TEXTJOIN(", ", TRUE, _xlfn.UNIQUE(_xlfn._xlws.FILTER(K$2:K$100, (A$2:A$100 = AA27) * (D$2:D$100 = AB27) * (J$2:J$100 &lt;= 0.05)))), "")</f>
        <v/>
      </c>
      <c r="AG27" s="51" t="str" cm="1">
        <f t="array" ref="AG27">_xlfn.TEXTJOIN(", ", TRUE, _xlfn.UNIQUE(IF((A$2:A$100 = AA27) * (D$2:D$100 = AB27) * ((J$2:J$100 &lt;= 0.05)), L$2:L$100, "")))</f>
        <v/>
      </c>
      <c r="AH27" s="51" t="str">
        <f t="shared" si="6"/>
        <v>OR / RRR</v>
      </c>
      <c r="AK27" s="44" t="str">
        <f t="shared" si="24"/>
        <v>HTA Aspect - Technological Aspect Completeness</v>
      </c>
      <c r="AL27" s="46" t="str">
        <f t="shared" si="25"/>
        <v>ME</v>
      </c>
      <c r="AM27" s="194" t="str">
        <f t="shared" si="26"/>
        <v>NO DATA</v>
      </c>
      <c r="AN27" s="200">
        <f t="shared" si="27"/>
        <v>0</v>
      </c>
      <c r="AO27" s="46">
        <f t="shared" si="28"/>
        <v>0</v>
      </c>
      <c r="AP27" s="51" t="str" cm="1">
        <f t="array" ref="AP27">_xlfn.TEXTJOIN(", ", TRUE, _xlfn.UNIQUE(IF((AA$2:AA$100 = AK27) * (AH$2:AH$100 = AL27), AF$2:AF$100, "")))</f>
        <v/>
      </c>
      <c r="AQ27" s="51" t="str" cm="1">
        <f t="array" ref="AQ27">_xlfn.TEXTJOIN(", ", TRUE, _xlfn.UNIQUE(IF((AA$2:AA$100 = AK27) * (AH$2:AH$100 = AL27), AG$2:AG$100, "")))</f>
        <v/>
      </c>
      <c r="AV27" s="6"/>
      <c r="AW27" s="6" t="str" cm="1">
        <f t="array" ref="AW27">INDEX($AV$1:$AV$100,INT((ROW(A27)-1)/3)+1)</f>
        <v>HTA Submission - Economic Aspect Completeness</v>
      </c>
      <c r="AX27" s="6" t="str" cm="1">
        <f t="array" ref="AX27">INDEX({"OR","RRR","ME"},MOD(ROW(AH27)-1,3)+1)</f>
        <v>ME</v>
      </c>
      <c r="AZ27" s="1" t="str" cm="1">
        <f t="array" ref="AZ27">INDEX($AV$1:$AV$100,INT((ROW(A27)-1)/2)+1)</f>
        <v>Single Technology Appraisals</v>
      </c>
      <c r="BA27" s="6" t="str" cm="1">
        <f t="array" ref="BA27">INDEX({"OR / RRR";"ME"}, MOD(ROW(X27)-1, 2)+1)</f>
        <v>OR / RRR</v>
      </c>
    </row>
    <row r="28" spans="1:53" ht="60">
      <c r="R28" s="44" t="str">
        <f t="shared" si="13"/>
        <v>HTA Submission - Economic Aspect Completeness</v>
      </c>
      <c r="S28" s="51" t="str">
        <f t="shared" si="2"/>
        <v>ME</v>
      </c>
      <c r="T28" s="51" t="str">
        <f t="shared" si="12"/>
        <v>0-0</v>
      </c>
      <c r="U28" s="51" t="e" cm="1" vm="1">
        <f t="array" ref="U28">_xlfn.TEXTJOIN(", ", TRUE, _xlfn.UNIQUE(_xlfn._xlws.FILTER(K$2:K$100, (A$2:A$100 = R28) * (D$2:D$100 = S28))))</f>
        <v>#VALUE!</v>
      </c>
      <c r="V28" s="51" t="str" cm="1">
        <f t="array" ref="V28">_xlfn.TEXTJOIN(", ", TRUE, _xlfn.UNIQUE(IF((A$2:A$100 = R28) * (D$2:D$100 = S28), L$2:L$100, "")))</f>
        <v/>
      </c>
      <c r="AA28" s="44" t="str">
        <f t="shared" si="0"/>
        <v>HTA Submission - Economic Aspect Completeness</v>
      </c>
      <c r="AB28" s="51" t="str">
        <f t="shared" si="1"/>
        <v>ME</v>
      </c>
      <c r="AC28" s="194" t="e">
        <f t="shared" si="3"/>
        <v>#VALUE!</v>
      </c>
      <c r="AD28" s="51" t="str">
        <f t="shared" si="4"/>
        <v>NA</v>
      </c>
      <c r="AE28" s="51" t="str">
        <f t="shared" si="5"/>
        <v>NA</v>
      </c>
      <c r="AF28" s="51" t="str" cm="1">
        <f t="array" ref="AF28">IFERROR(_xlfn.TEXTJOIN(", ", TRUE, _xlfn.UNIQUE(_xlfn._xlws.FILTER(K$2:K$100, (A$2:A$100 = AA28) * (D$2:D$100 = AB28) * (J$2:J$100 &lt;= 0.05)))), "")</f>
        <v/>
      </c>
      <c r="AG28" s="51" t="str" cm="1">
        <f t="array" ref="AG28">_xlfn.TEXTJOIN(", ", TRUE, _xlfn.UNIQUE(IF((A$2:A$100 = AA28) * (D$2:D$100 = AB28) * ((J$2:J$100 &lt;= 0.05)), L$2:L$100, "")))</f>
        <v/>
      </c>
      <c r="AH28" s="51" t="str">
        <f t="shared" si="6"/>
        <v>ME</v>
      </c>
      <c r="AK28" s="44" t="str">
        <f t="shared" si="24"/>
        <v>Single Technology Appraisals</v>
      </c>
      <c r="AL28" s="46" t="str">
        <f t="shared" si="25"/>
        <v>OR / RRR</v>
      </c>
      <c r="AM28" s="194">
        <f t="shared" si="26"/>
        <v>0.43</v>
      </c>
      <c r="AN28" s="200">
        <f t="shared" si="27"/>
        <v>0.42599999999999999</v>
      </c>
      <c r="AO28" s="46">
        <f t="shared" si="28"/>
        <v>0.42599999999999999</v>
      </c>
      <c r="AP28" s="51" t="str" cm="1">
        <f t="array" ref="AP28">_xlfn.TEXTJOIN(", ", TRUE, _xlfn.UNIQUE(IF((AA$2:AA$100 = AK28) * (AH$2:AH$100 = AL28), AF$2:AF$100, "")))</f>
        <v>UK</v>
      </c>
      <c r="AQ28" s="51" t="str" cm="1">
        <f t="array" ref="AQ28">_xlfn.TEXTJOIN(", ", TRUE, _xlfn.UNIQUE(IF((AA$2:AA$100 = AK28) * (AH$2:AH$100 = AL28), AG$2:AG$100, "")))</f>
        <v>(H. Dakin, Devlin, Feng, Rice, O’Neill, et al., 2015)</v>
      </c>
      <c r="AV28" s="6"/>
      <c r="AW28" s="6" t="str" cm="1">
        <f t="array" ref="AW28">INDEX($AV$1:$AV$100,INT((ROW(A28)-1)/3)+1)</f>
        <v>HTA Aspect - Patient Aspect Completeness</v>
      </c>
      <c r="AX28" s="6" t="str" cm="1">
        <f t="array" ref="AX28">INDEX({"OR","RRR","ME"},MOD(ROW(AH28)-1,3)+1)</f>
        <v>OR</v>
      </c>
      <c r="AZ28" s="1" t="str" cm="1">
        <f t="array" ref="AZ28">INDEX($AV$1:$AV$100,INT((ROW(A28)-1)/2)+1)</f>
        <v>Single Technology Appraisals</v>
      </c>
      <c r="BA28" s="6" t="str" cm="1">
        <f t="array" ref="BA28">INDEX({"OR / RRR";"ME"}, MOD(ROW(X28)-1, 2)+1)</f>
        <v>ME</v>
      </c>
    </row>
    <row r="29" spans="1:53" ht="45">
      <c r="R29" s="44" t="str">
        <f t="shared" si="13"/>
        <v>HTA Aspect - Patient Aspect Completeness</v>
      </c>
      <c r="S29" s="51" t="str">
        <f t="shared" si="2"/>
        <v>OR</v>
      </c>
      <c r="T29" s="51" t="str">
        <f t="shared" si="12"/>
        <v>1,17-1,17</v>
      </c>
      <c r="U29" s="51" t="str" cm="1">
        <f t="array" ref="U29">_xlfn.TEXTJOIN(", ", TRUE, _xlfn.UNIQUE(_xlfn._xlws.FILTER(K$2:K$100, (A$2:A$100 = R29) * (D$2:D$100 = S29))))</f>
        <v>The Netherlands, New Zealand, Norway, Sweden, UK, USA</v>
      </c>
      <c r="V29" s="51" t="str" cm="1">
        <f t="array" ref="V29">_xlfn.TEXTJOIN(", ", TRUE, _xlfn.UNIQUE(IF((A$2:A$100 = R29) * (D$2:D$100 = S29), L$2:L$100, "")))</f>
        <v>(Draborg &amp; Andersen, 2006)</v>
      </c>
      <c r="AA29" s="44" t="str">
        <f t="shared" si="0"/>
        <v>HTA Aspect - Patient Aspect Completeness</v>
      </c>
      <c r="AB29" s="51" t="str">
        <f t="shared" si="1"/>
        <v>OR</v>
      </c>
      <c r="AC29" s="194" t="e">
        <f t="shared" si="3"/>
        <v>#VALUE!</v>
      </c>
      <c r="AD29" s="51" t="str">
        <f t="shared" si="4"/>
        <v>NA</v>
      </c>
      <c r="AE29" s="51" t="str">
        <f t="shared" si="5"/>
        <v>NA</v>
      </c>
      <c r="AF29" s="51" t="str" cm="1">
        <f t="array" ref="AF29">IFERROR(_xlfn.TEXTJOIN(", ", TRUE, _xlfn.UNIQUE(_xlfn._xlws.FILTER(K$2:K$100, (A$2:A$100 = AA29) * (D$2:D$100 = AB29) * (J$2:J$100 &lt;= 0.05)))), "")</f>
        <v/>
      </c>
      <c r="AG29" s="51" t="str" cm="1">
        <f t="array" ref="AG29">_xlfn.TEXTJOIN(", ", TRUE, _xlfn.UNIQUE(IF((A$2:A$100 = AA29) * (D$2:D$100 = AB29) * ((J$2:J$100 &lt;= 0.05)), L$2:L$100, "")))</f>
        <v/>
      </c>
      <c r="AH29" s="51" t="str">
        <f t="shared" si="6"/>
        <v>OR / RRR</v>
      </c>
      <c r="AK29" s="44" t="str">
        <f t="shared" si="24"/>
        <v>Single Technology Appraisals</v>
      </c>
      <c r="AL29" s="46" t="str">
        <f t="shared" si="25"/>
        <v>ME</v>
      </c>
      <c r="AM29" s="194" t="str">
        <f t="shared" si="26"/>
        <v>NO DATA</v>
      </c>
      <c r="AN29" s="200">
        <f t="shared" si="27"/>
        <v>0</v>
      </c>
      <c r="AO29" s="46">
        <f t="shared" si="28"/>
        <v>0</v>
      </c>
      <c r="AP29" s="51" t="str" cm="1">
        <f t="array" ref="AP29">_xlfn.TEXTJOIN(", ", TRUE, _xlfn.UNIQUE(IF((AA$2:AA$100 = AK29) * (AH$2:AH$100 = AL29), AF$2:AF$100, "")))</f>
        <v/>
      </c>
      <c r="AQ29" s="51" t="str" cm="1">
        <f t="array" ref="AQ29">_xlfn.TEXTJOIN(", ", TRUE, _xlfn.UNIQUE(IF((AA$2:AA$100 = AK29) * (AH$2:AH$100 = AL29), AG$2:AG$100, "")))</f>
        <v/>
      </c>
      <c r="AV29" s="6"/>
      <c r="AW29" s="6" t="str" cm="1">
        <f t="array" ref="AW29">INDEX($AV$1:$AV$100,INT((ROW(A29)-1)/3)+1)</f>
        <v>HTA Aspect - Patient Aspect Completeness</v>
      </c>
      <c r="AX29" s="6" t="str" cm="1">
        <f t="array" ref="AX29">INDEX({"OR","RRR","ME"},MOD(ROW(AH29)-1,3)+1)</f>
        <v>RRR</v>
      </c>
      <c r="AZ29" s="1"/>
      <c r="BA29" s="6"/>
    </row>
    <row r="30" spans="1:53" ht="45">
      <c r="R30" s="44" t="str">
        <f t="shared" si="13"/>
        <v>HTA Aspect - Patient Aspect Completeness</v>
      </c>
      <c r="S30" s="51" t="str">
        <f t="shared" si="2"/>
        <v>RRR</v>
      </c>
      <c r="T30" s="51" t="str">
        <f t="shared" si="12"/>
        <v>0-0</v>
      </c>
      <c r="U30" s="51" t="e" cm="1" vm="1">
        <f t="array" ref="U30">_xlfn.TEXTJOIN(", ", TRUE, _xlfn.UNIQUE(_xlfn._xlws.FILTER(K$2:K$100, (A$2:A$100 = R30) * (D$2:D$100 = S30))))</f>
        <v>#VALUE!</v>
      </c>
      <c r="V30" s="51" t="str" cm="1">
        <f t="array" ref="V30">_xlfn.TEXTJOIN(", ", TRUE, _xlfn.UNIQUE(IF((A$2:A$100 = R30) * (D$2:D$100 = S30), L$2:L$100, "")))</f>
        <v/>
      </c>
      <c r="AA30" s="44" t="str">
        <f t="shared" si="0"/>
        <v>HTA Aspect - Patient Aspect Completeness</v>
      </c>
      <c r="AB30" s="51" t="str">
        <f t="shared" si="1"/>
        <v>RRR</v>
      </c>
      <c r="AC30" s="194" t="e">
        <f t="shared" si="3"/>
        <v>#VALUE!</v>
      </c>
      <c r="AD30" s="51" t="str">
        <f t="shared" si="4"/>
        <v>NA</v>
      </c>
      <c r="AE30" s="51" t="str">
        <f t="shared" si="5"/>
        <v>NA</v>
      </c>
      <c r="AF30" s="51" t="str" cm="1">
        <f t="array" ref="AF30">IFERROR(_xlfn.TEXTJOIN(", ", TRUE, _xlfn.UNIQUE(_xlfn._xlws.FILTER(K$2:K$100, (A$2:A$100 = AA30) * (D$2:D$100 = AB30) * (J$2:J$100 &lt;= 0.05)))), "")</f>
        <v/>
      </c>
      <c r="AG30" s="51" t="str" cm="1">
        <f t="array" ref="AG30">_xlfn.TEXTJOIN(", ", TRUE, _xlfn.UNIQUE(IF((A$2:A$100 = AA30) * (D$2:D$100 = AB30) * ((J$2:J$100 &lt;= 0.05)), L$2:L$100, "")))</f>
        <v/>
      </c>
      <c r="AH30" s="51" t="str">
        <f t="shared" si="6"/>
        <v>OR / RRR</v>
      </c>
      <c r="AK30" s="209"/>
      <c r="AL30" s="210"/>
      <c r="AM30" s="211"/>
      <c r="AN30" s="212"/>
      <c r="AO30" s="210"/>
      <c r="AP30" s="213"/>
      <c r="AQ30" s="213"/>
      <c r="AV30" s="6"/>
      <c r="AW30" s="6" t="str" cm="1">
        <f t="array" ref="AW30">INDEX($AV$1:$AV$100,INT((ROW(A30)-1)/3)+1)</f>
        <v>HTA Aspect - Patient Aspect Completeness</v>
      </c>
      <c r="AX30" s="6" t="str" cm="1">
        <f t="array" ref="AX30">INDEX({"OR","RRR","ME"},MOD(ROW(AH30)-1,3)+1)</f>
        <v>ME</v>
      </c>
      <c r="AZ30" s="1"/>
      <c r="BA30" s="6"/>
    </row>
    <row r="31" spans="1:53" ht="45">
      <c r="R31" s="44" t="str">
        <f t="shared" si="13"/>
        <v>HTA Aspect - Patient Aspect Completeness</v>
      </c>
      <c r="S31" s="51" t="str">
        <f t="shared" si="2"/>
        <v>ME</v>
      </c>
      <c r="T31" s="51" t="str">
        <f t="shared" si="12"/>
        <v>0-0</v>
      </c>
      <c r="U31" s="51" t="e" cm="1" vm="1">
        <f t="array" ref="U31">_xlfn.TEXTJOIN(", ", TRUE, _xlfn.UNIQUE(_xlfn._xlws.FILTER(K$2:K$100, (A$2:A$100 = R31) * (D$2:D$100 = S31))))</f>
        <v>#VALUE!</v>
      </c>
      <c r="V31" s="51" t="str" cm="1">
        <f t="array" ref="V31">_xlfn.TEXTJOIN(", ", TRUE, _xlfn.UNIQUE(IF((A$2:A$100 = R31) * (D$2:D$100 = S31), L$2:L$100, "")))</f>
        <v/>
      </c>
      <c r="AA31" s="44" t="str">
        <f t="shared" si="0"/>
        <v>HTA Aspect - Patient Aspect Completeness</v>
      </c>
      <c r="AB31" s="51" t="str">
        <f t="shared" si="1"/>
        <v>ME</v>
      </c>
      <c r="AC31" s="194" t="e">
        <f t="shared" si="3"/>
        <v>#VALUE!</v>
      </c>
      <c r="AD31" s="51" t="str">
        <f t="shared" si="4"/>
        <v>NA</v>
      </c>
      <c r="AE31" s="51" t="str">
        <f t="shared" si="5"/>
        <v>NA</v>
      </c>
      <c r="AF31" s="51" t="str" cm="1">
        <f t="array" ref="AF31">IFERROR(_xlfn.TEXTJOIN(", ", TRUE, _xlfn.UNIQUE(_xlfn._xlws.FILTER(K$2:K$100, (A$2:A$100 = AA31) * (D$2:D$100 = AB31) * (J$2:J$100 &lt;= 0.05)))), "")</f>
        <v/>
      </c>
      <c r="AG31" s="51" t="str" cm="1">
        <f t="array" ref="AG31">_xlfn.TEXTJOIN(", ", TRUE, _xlfn.UNIQUE(IF((A$2:A$100 = AA31) * (D$2:D$100 = AB31) * ((J$2:J$100 &lt;= 0.05)), L$2:L$100, "")))</f>
        <v/>
      </c>
      <c r="AH31" s="51" t="str">
        <f t="shared" si="6"/>
        <v>ME</v>
      </c>
      <c r="AK31" s="209"/>
      <c r="AL31" s="210"/>
      <c r="AM31" s="211"/>
      <c r="AN31" s="212"/>
      <c r="AO31" s="210"/>
      <c r="AP31" s="213"/>
      <c r="AQ31" s="213"/>
      <c r="AV31" s="6"/>
      <c r="AW31" s="6" t="str" cm="1">
        <f t="array" ref="AW31">INDEX($AV$1:$AV$100,INT((ROW(A31)-1)/3)+1)</f>
        <v>HTA Aspect - Organizational Aspect Completeness</v>
      </c>
      <c r="AX31" s="6" t="str" cm="1">
        <f t="array" ref="AX31">INDEX({"OR","RRR","ME"},MOD(ROW(AH31)-1,3)+1)</f>
        <v>OR</v>
      </c>
      <c r="AZ31" s="1"/>
      <c r="BA31" s="6"/>
    </row>
    <row r="32" spans="1:53" ht="60">
      <c r="R32" s="44" t="str">
        <f t="shared" si="13"/>
        <v>HTA Aspect - Organizational Aspect Completeness</v>
      </c>
      <c r="S32" s="51" t="str">
        <f t="shared" si="2"/>
        <v>OR</v>
      </c>
      <c r="T32" s="51" t="str">
        <f t="shared" si="12"/>
        <v>1,22-1,22</v>
      </c>
      <c r="U32" s="51" t="str" cm="1">
        <f t="array" ref="U32">_xlfn.TEXTJOIN(", ", TRUE, _xlfn.UNIQUE(_xlfn._xlws.FILTER(K$2:K$100, (A$2:A$100 = R32) * (D$2:D$100 = S32))))</f>
        <v>The Netherlands, New Zealand, Norway, Sweden, UK, USA</v>
      </c>
      <c r="V32" s="51" t="str" cm="1">
        <f t="array" ref="V32">_xlfn.TEXTJOIN(", ", TRUE, _xlfn.UNIQUE(IF((A$2:A$100 = R32) * (D$2:D$100 = S32), L$2:L$100, "")))</f>
        <v>(Draborg &amp; Andersen, 2006)</v>
      </c>
      <c r="AA32" s="44" t="str">
        <f t="shared" si="0"/>
        <v>HTA Aspect - Organizational Aspect Completeness</v>
      </c>
      <c r="AB32" s="51" t="str">
        <f t="shared" si="1"/>
        <v>OR</v>
      </c>
      <c r="AC32" s="194">
        <f t="shared" si="3"/>
        <v>1.22</v>
      </c>
      <c r="AD32" s="51">
        <f t="shared" si="4"/>
        <v>1.22</v>
      </c>
      <c r="AE32" s="51">
        <f t="shared" si="5"/>
        <v>1.22</v>
      </c>
      <c r="AF32" s="51" t="str" cm="1">
        <f t="array" ref="AF32">IFERROR(_xlfn.TEXTJOIN(", ", TRUE, _xlfn.UNIQUE(_xlfn._xlws.FILTER(K$2:K$100, (A$2:A$100 = AA32) * (D$2:D$100 = AB32) * (J$2:J$100 &lt;= 0.05)))), "")</f>
        <v>The Netherlands, New Zealand, Norway, Sweden, UK, USA</v>
      </c>
      <c r="AG32" s="51" t="str" cm="1">
        <f t="array" ref="AG32">_xlfn.TEXTJOIN(", ", TRUE, _xlfn.UNIQUE(IF((A$2:A$100 = AA32) * (D$2:D$100 = AB32) * ((J$2:J$100 &lt;= 0.05)), L$2:L$100, "")))</f>
        <v>(Draborg &amp; Andersen, 2006)</v>
      </c>
      <c r="AH32" s="51" t="str">
        <f t="shared" si="6"/>
        <v>OR / RRR</v>
      </c>
      <c r="AK32" s="209"/>
      <c r="AL32" s="210"/>
      <c r="AM32" s="211"/>
      <c r="AN32" s="212"/>
      <c r="AO32" s="210"/>
      <c r="AP32" s="213"/>
      <c r="AQ32" s="213"/>
      <c r="AV32" s="6"/>
      <c r="AW32" s="6" t="str" cm="1">
        <f t="array" ref="AW32">INDEX($AV$1:$AV$100,INT((ROW(A32)-1)/3)+1)</f>
        <v>HTA Aspect - Organizational Aspect Completeness</v>
      </c>
      <c r="AX32" s="6" t="str" cm="1">
        <f t="array" ref="AX32">INDEX({"OR","RRR","ME"},MOD(ROW(AH32)-1,3)+1)</f>
        <v>RRR</v>
      </c>
      <c r="AZ32" s="1"/>
      <c r="BA32" s="6"/>
    </row>
    <row r="33" spans="18:50" ht="60">
      <c r="R33" s="44" t="str">
        <f t="shared" si="13"/>
        <v>HTA Aspect - Organizational Aspect Completeness</v>
      </c>
      <c r="S33" s="51" t="str">
        <f t="shared" si="2"/>
        <v>RRR</v>
      </c>
      <c r="T33" s="51" t="str">
        <f t="shared" si="12"/>
        <v>0-0</v>
      </c>
      <c r="U33" s="51" t="e" cm="1" vm="1">
        <f t="array" ref="U33">_xlfn.TEXTJOIN(", ", TRUE, _xlfn.UNIQUE(_xlfn._xlws.FILTER(K$2:K$100, (A$2:A$100 = R33) * (D$2:D$100 = S33))))</f>
        <v>#VALUE!</v>
      </c>
      <c r="V33" s="51" t="str" cm="1">
        <f t="array" ref="V33">_xlfn.TEXTJOIN(", ", TRUE, _xlfn.UNIQUE(IF((A$2:A$100 = R33) * (D$2:D$100 = S33), L$2:L$100, "")))</f>
        <v/>
      </c>
      <c r="AA33" s="44" t="str">
        <f t="shared" si="0"/>
        <v>HTA Aspect - Organizational Aspect Completeness</v>
      </c>
      <c r="AB33" s="51" t="str">
        <f t="shared" si="1"/>
        <v>RRR</v>
      </c>
      <c r="AC33" s="194" t="e">
        <f t="shared" si="3"/>
        <v>#VALUE!</v>
      </c>
      <c r="AD33" s="51" t="str">
        <f t="shared" si="4"/>
        <v>NA</v>
      </c>
      <c r="AE33" s="51" t="str">
        <f t="shared" si="5"/>
        <v>NA</v>
      </c>
      <c r="AF33" s="51" t="str" cm="1">
        <f t="array" ref="AF33">IFERROR(_xlfn.TEXTJOIN(", ", TRUE, _xlfn.UNIQUE(_xlfn._xlws.FILTER(K$2:K$100, (A$2:A$100 = AA33) * (D$2:D$100 = AB33) * (J$2:J$100 &lt;= 0.05)))), "")</f>
        <v/>
      </c>
      <c r="AG33" s="51" t="str" cm="1">
        <f t="array" ref="AG33">_xlfn.TEXTJOIN(", ", TRUE, _xlfn.UNIQUE(IF((A$2:A$100 = AA33) * (D$2:D$100 = AB33) * ((J$2:J$100 &lt;= 0.05)), L$2:L$100, "")))</f>
        <v/>
      </c>
      <c r="AH33" s="51" t="str">
        <f t="shared" si="6"/>
        <v>OR / RRR</v>
      </c>
      <c r="AK33" s="209"/>
      <c r="AL33" s="210"/>
      <c r="AM33" s="211"/>
      <c r="AN33" s="212"/>
      <c r="AO33" s="210"/>
      <c r="AP33" s="213"/>
      <c r="AQ33" s="213"/>
      <c r="AV33" s="6"/>
      <c r="AW33" s="6" t="str" cm="1">
        <f t="array" ref="AW33">INDEX($AV$1:$AV$100,INT((ROW(A33)-1)/3)+1)</f>
        <v>HTA Aspect - Organizational Aspect Completeness</v>
      </c>
      <c r="AX33" s="6" t="str" cm="1">
        <f t="array" ref="AX33">INDEX({"OR","RRR","ME"},MOD(ROW(AH33)-1,3)+1)</f>
        <v>ME</v>
      </c>
    </row>
    <row r="34" spans="18:50" ht="60">
      <c r="R34" s="44" t="str">
        <f t="shared" si="13"/>
        <v>HTA Aspect - Organizational Aspect Completeness</v>
      </c>
      <c r="S34" s="51" t="str">
        <f t="shared" si="2"/>
        <v>ME</v>
      </c>
      <c r="T34" s="51" t="str">
        <f t="shared" si="12"/>
        <v>0-0</v>
      </c>
      <c r="U34" s="51" t="e" cm="1" vm="1">
        <f t="array" ref="U34">_xlfn.TEXTJOIN(", ", TRUE, _xlfn.UNIQUE(_xlfn._xlws.FILTER(K$2:K$100, (A$2:A$100 = R34) * (D$2:D$100 = S34))))</f>
        <v>#VALUE!</v>
      </c>
      <c r="V34" s="51" t="str" cm="1">
        <f t="array" ref="V34">_xlfn.TEXTJOIN(", ", TRUE, _xlfn.UNIQUE(IF((A$2:A$100 = R34) * (D$2:D$100 = S34), L$2:L$100, "")))</f>
        <v/>
      </c>
      <c r="AA34" s="44" t="str">
        <f t="shared" si="0"/>
        <v>HTA Aspect - Organizational Aspect Completeness</v>
      </c>
      <c r="AB34" s="51" t="str">
        <f t="shared" si="1"/>
        <v>ME</v>
      </c>
      <c r="AC34" s="194" t="e">
        <f t="shared" si="3"/>
        <v>#VALUE!</v>
      </c>
      <c r="AD34" s="51" t="str">
        <f t="shared" si="4"/>
        <v>NA</v>
      </c>
      <c r="AE34" s="51" t="str">
        <f t="shared" si="5"/>
        <v>NA</v>
      </c>
      <c r="AF34" s="51" t="str" cm="1">
        <f t="array" ref="AF34">IFERROR(_xlfn.TEXTJOIN(", ", TRUE, _xlfn.UNIQUE(_xlfn._xlws.FILTER(K$2:K$100, (A$2:A$100 = AA34) * (D$2:D$100 = AB34) * (J$2:J$100 &lt;= 0.05)))), "")</f>
        <v/>
      </c>
      <c r="AG34" s="51" t="str" cm="1">
        <f t="array" ref="AG34">_xlfn.TEXTJOIN(", ", TRUE, _xlfn.UNIQUE(IF((A$2:A$100 = AA34) * (D$2:D$100 = AB34) * ((J$2:J$100 &lt;= 0.05)), L$2:L$100, "")))</f>
        <v/>
      </c>
      <c r="AH34" s="51" t="str">
        <f t="shared" si="6"/>
        <v>ME</v>
      </c>
      <c r="AK34" s="209"/>
      <c r="AL34" s="210"/>
      <c r="AM34" s="211"/>
      <c r="AN34" s="212"/>
      <c r="AO34" s="210"/>
      <c r="AP34" s="213"/>
      <c r="AQ34" s="213"/>
      <c r="AV34" s="6"/>
      <c r="AW34" s="6" t="str" cm="1">
        <f t="array" ref="AW34">INDEX($AV$1:$AV$100,INT((ROW(A34)-1)/3)+1)</f>
        <v>Legal Act Required for Positive Decision</v>
      </c>
      <c r="AX34" s="6" t="str" cm="1">
        <f t="array" ref="AX34">INDEX({"OR","RRR","ME"},MOD(ROW(AH34)-1,3)+1)</f>
        <v>OR</v>
      </c>
    </row>
    <row r="35" spans="18:50" ht="60">
      <c r="R35" s="44" t="str">
        <f t="shared" si="13"/>
        <v>Legal Act Required for Positive Decision</v>
      </c>
      <c r="S35" s="51" t="str">
        <f t="shared" si="2"/>
        <v>OR</v>
      </c>
      <c r="T35" s="51" t="str">
        <f t="shared" si="12"/>
        <v>0,05-0,05</v>
      </c>
      <c r="U35" s="51" t="str" cm="1">
        <f t="array" ref="U35">_xlfn.TEXTJOIN(", ", TRUE, _xlfn.UNIQUE(_xlfn._xlws.FILTER(K$2:K$100, (A$2:A$100 = R35) * (D$2:D$100 = S35))))</f>
        <v>Hungary</v>
      </c>
      <c r="V35" s="51" t="str" cm="1">
        <f t="array" ref="V35">_xlfn.TEXTJOIN(", ", TRUE, _xlfn.UNIQUE(IF((A$2:A$100 = R35) * (D$2:D$100 = S35), L$2:L$100, "")))</f>
        <v>(Merész &amp; Gaál, 2023)</v>
      </c>
      <c r="AA35" s="44" t="str">
        <f t="shared" si="0"/>
        <v>Legal Act Required for Positive Decision</v>
      </c>
      <c r="AB35" s="51" t="str">
        <f t="shared" si="1"/>
        <v>OR</v>
      </c>
      <c r="AC35" s="194">
        <f t="shared" si="3"/>
        <v>0.05</v>
      </c>
      <c r="AD35" s="51">
        <f t="shared" si="4"/>
        <v>0.05</v>
      </c>
      <c r="AE35" s="51">
        <f t="shared" si="5"/>
        <v>0.05</v>
      </c>
      <c r="AF35" s="51" t="str" cm="1">
        <f t="array" ref="AF35">IFERROR(_xlfn.TEXTJOIN(", ", TRUE, _xlfn.UNIQUE(_xlfn._xlws.FILTER(K$2:K$100, (A$2:A$100 = AA35) * (D$2:D$100 = AB35) * (J$2:J$100 &lt;= 0.05)))), "")</f>
        <v>Hungary</v>
      </c>
      <c r="AG35" s="51" t="str" cm="1">
        <f t="array" ref="AG35">_xlfn.TEXTJOIN(", ", TRUE, _xlfn.UNIQUE(IF((A$2:A$100 = AA35) * (D$2:D$100 = AB35) * ((J$2:J$100 &lt;= 0.05)), L$2:L$100, "")))</f>
        <v>(Merész &amp; Gaál, 2023)</v>
      </c>
      <c r="AH35" s="51" t="str">
        <f t="shared" si="6"/>
        <v>OR / RRR</v>
      </c>
      <c r="AK35" s="209"/>
      <c r="AL35" s="210"/>
      <c r="AM35" s="211"/>
      <c r="AN35" s="212"/>
      <c r="AO35" s="210"/>
      <c r="AP35" s="213"/>
      <c r="AQ35" s="213"/>
      <c r="AV35" s="6"/>
      <c r="AW35" s="6" t="str" cm="1">
        <f t="array" ref="AW35">INDEX($AV$1:$AV$100,INT((ROW(A35)-1)/3)+1)</f>
        <v>Legal Act Required for Positive Decision</v>
      </c>
      <c r="AX35" s="6" t="str" cm="1">
        <f t="array" ref="AX35">INDEX({"OR","RRR","ME"},MOD(ROW(AH35)-1,3)+1)</f>
        <v>RRR</v>
      </c>
    </row>
    <row r="36" spans="18:50" ht="60">
      <c r="R36" s="44" t="str">
        <f t="shared" si="13"/>
        <v>Legal Act Required for Positive Decision</v>
      </c>
      <c r="S36" s="51" t="str">
        <f t="shared" si="2"/>
        <v>RRR</v>
      </c>
      <c r="T36" s="51" t="str">
        <f t="shared" si="12"/>
        <v>0-0</v>
      </c>
      <c r="U36" s="51" t="e" cm="1" vm="1">
        <f t="array" ref="U36">_xlfn.TEXTJOIN(", ", TRUE, _xlfn.UNIQUE(_xlfn._xlws.FILTER(K$2:K$100, (A$2:A$100 = R36) * (D$2:D$100 = S36))))</f>
        <v>#VALUE!</v>
      </c>
      <c r="V36" s="51" t="str" cm="1">
        <f t="array" ref="V36">_xlfn.TEXTJOIN(", ", TRUE, _xlfn.UNIQUE(IF((A$2:A$100 = R36) * (D$2:D$100 = S36), L$2:L$100, "")))</f>
        <v/>
      </c>
      <c r="AA36" s="44" t="str">
        <f t="shared" si="0"/>
        <v>Legal Act Required for Positive Decision</v>
      </c>
      <c r="AB36" s="51" t="str">
        <f t="shared" si="1"/>
        <v>RRR</v>
      </c>
      <c r="AC36" s="194" t="e">
        <f t="shared" si="3"/>
        <v>#VALUE!</v>
      </c>
      <c r="AD36" s="51" t="str">
        <f t="shared" si="4"/>
        <v>NA</v>
      </c>
      <c r="AE36" s="51" t="str">
        <f t="shared" si="5"/>
        <v>NA</v>
      </c>
      <c r="AF36" s="51" t="str" cm="1">
        <f t="array" ref="AF36">IFERROR(_xlfn.TEXTJOIN(", ", TRUE, _xlfn.UNIQUE(_xlfn._xlws.FILTER(K$2:K$100, (A$2:A$100 = AA36) * (D$2:D$100 = AB36) * (J$2:J$100 &lt;= 0.05)))), "")</f>
        <v/>
      </c>
      <c r="AG36" s="51" t="str" cm="1">
        <f t="array" ref="AG36">_xlfn.TEXTJOIN(", ", TRUE, _xlfn.UNIQUE(IF((A$2:A$100 = AA36) * (D$2:D$100 = AB36) * ((J$2:J$100 &lt;= 0.05)), L$2:L$100, "")))</f>
        <v/>
      </c>
      <c r="AH36" s="51" t="str">
        <f t="shared" si="6"/>
        <v>OR / RRR</v>
      </c>
      <c r="AK36" s="209"/>
      <c r="AL36" s="210"/>
      <c r="AM36" s="211"/>
      <c r="AN36" s="212"/>
      <c r="AO36" s="210"/>
      <c r="AP36" s="213"/>
      <c r="AQ36" s="213"/>
      <c r="AV36" s="6"/>
      <c r="AW36" s="6" t="str" cm="1">
        <f t="array" ref="AW36">INDEX($AV$1:$AV$100,INT((ROW(A36)-1)/3)+1)</f>
        <v>Legal Act Required for Positive Decision</v>
      </c>
      <c r="AX36" s="6" t="str" cm="1">
        <f t="array" ref="AX36">INDEX({"OR","RRR","ME"},MOD(ROW(AH36)-1,3)+1)</f>
        <v>ME</v>
      </c>
    </row>
    <row r="37" spans="18:50" ht="60">
      <c r="R37" s="44" t="str">
        <f t="shared" si="13"/>
        <v>Legal Act Required for Positive Decision</v>
      </c>
      <c r="S37" s="51" t="str">
        <f t="shared" si="2"/>
        <v>ME</v>
      </c>
      <c r="T37" s="51" t="str">
        <f t="shared" si="12"/>
        <v>0-0</v>
      </c>
      <c r="U37" s="51" t="e" cm="1" vm="1">
        <f t="array" ref="U37">_xlfn.TEXTJOIN(", ", TRUE, _xlfn.UNIQUE(_xlfn._xlws.FILTER(K$2:K$100, (A$2:A$100 = R37) * (D$2:D$100 = S37))))</f>
        <v>#VALUE!</v>
      </c>
      <c r="V37" s="51" t="str" cm="1">
        <f t="array" ref="V37">_xlfn.TEXTJOIN(", ", TRUE, _xlfn.UNIQUE(IF((A$2:A$100 = R37) * (D$2:D$100 = S37), L$2:L$100, "")))</f>
        <v/>
      </c>
      <c r="AA37" s="44" t="str">
        <f t="shared" si="0"/>
        <v>Legal Act Required for Positive Decision</v>
      </c>
      <c r="AB37" s="51" t="str">
        <f t="shared" si="1"/>
        <v>ME</v>
      </c>
      <c r="AC37" s="194" t="e">
        <f t="shared" si="3"/>
        <v>#VALUE!</v>
      </c>
      <c r="AD37" s="51" t="str">
        <f t="shared" si="4"/>
        <v>NA</v>
      </c>
      <c r="AE37" s="51" t="str">
        <f t="shared" si="5"/>
        <v>NA</v>
      </c>
      <c r="AF37" s="51" t="str" cm="1">
        <f t="array" ref="AF37">IFERROR(_xlfn.TEXTJOIN(", ", TRUE, _xlfn.UNIQUE(_xlfn._xlws.FILTER(K$2:K$100, (A$2:A$100 = AA37) * (D$2:D$100 = AB37) * (J$2:J$100 &lt;= 0.05)))), "")</f>
        <v/>
      </c>
      <c r="AG37" s="51" t="str" cm="1">
        <f t="array" ref="AG37">_xlfn.TEXTJOIN(", ", TRUE, _xlfn.UNIQUE(IF((A$2:A$100 = AA37) * (D$2:D$100 = AB37) * ((J$2:J$100 &lt;= 0.05)), L$2:L$100, "")))</f>
        <v/>
      </c>
      <c r="AH37" s="51" t="str">
        <f t="shared" si="6"/>
        <v>ME</v>
      </c>
      <c r="AK37" s="209"/>
      <c r="AL37" s="210"/>
      <c r="AM37" s="211"/>
      <c r="AN37" s="212"/>
      <c r="AO37" s="210"/>
      <c r="AP37" s="213"/>
      <c r="AQ37" s="213"/>
      <c r="AV37" s="6"/>
      <c r="AW37" s="6" t="str" cm="1">
        <f t="array" ref="AW37">INDEX($AV$1:$AV$100,INT((ROW(A37)-1)/3)+1)</f>
        <v>HTA Aspect - Technological Aspect Completeness</v>
      </c>
      <c r="AX37" s="6" t="str" cm="1">
        <f t="array" ref="AX37">INDEX({"OR","RRR","ME"},MOD(ROW(AH37)-1,3)+1)</f>
        <v>OR</v>
      </c>
    </row>
    <row r="38" spans="18:50" ht="60">
      <c r="R38" s="44" t="str">
        <f t="shared" si="13"/>
        <v>HTA Aspect - Technological Aspect Completeness</v>
      </c>
      <c r="S38" s="51" t="str">
        <f t="shared" si="2"/>
        <v>OR</v>
      </c>
      <c r="T38" s="51" t="str">
        <f t="shared" si="12"/>
        <v>1,25-1,25</v>
      </c>
      <c r="U38" s="51" t="str" cm="1">
        <f t="array" ref="U38">_xlfn.TEXTJOIN(", ", TRUE, _xlfn.UNIQUE(_xlfn._xlws.FILTER(K$2:K$100, (A$2:A$100 = R38) * (D$2:D$100 = S38))))</f>
        <v>The Netherlands, New Zealand, Norway, Sweden, UK, USA</v>
      </c>
      <c r="V38" s="51" t="str" cm="1">
        <f t="array" ref="V38">_xlfn.TEXTJOIN(", ", TRUE, _xlfn.UNIQUE(IF((A$2:A$100 = R38) * (D$2:D$100 = S38), L$2:L$100, "")))</f>
        <v>(Draborg &amp; Andersen, 2006)</v>
      </c>
      <c r="AA38" s="44" t="str">
        <f t="shared" si="0"/>
        <v>HTA Aspect - Technological Aspect Completeness</v>
      </c>
      <c r="AB38" s="51" t="str">
        <f t="shared" si="1"/>
        <v>OR</v>
      </c>
      <c r="AC38" s="194">
        <f t="shared" si="3"/>
        <v>1.25</v>
      </c>
      <c r="AD38" s="51">
        <f t="shared" si="4"/>
        <v>1.25</v>
      </c>
      <c r="AE38" s="51">
        <f t="shared" si="5"/>
        <v>1.25</v>
      </c>
      <c r="AF38" s="51" t="str" cm="1">
        <f t="array" ref="AF38">IFERROR(_xlfn.TEXTJOIN(", ", TRUE, _xlfn.UNIQUE(_xlfn._xlws.FILTER(K$2:K$100, (A$2:A$100 = AA38) * (D$2:D$100 = AB38) * (J$2:J$100 &lt;= 0.05)))), "")</f>
        <v>The Netherlands, New Zealand, Norway, Sweden, UK, USA</v>
      </c>
      <c r="AG38" s="51" t="str" cm="1">
        <f t="array" ref="AG38">_xlfn.TEXTJOIN(", ", TRUE, _xlfn.UNIQUE(IF((A$2:A$100 = AA38) * (D$2:D$100 = AB38) * ((J$2:J$100 &lt;= 0.05)), L$2:L$100, "")))</f>
        <v>(Draborg &amp; Andersen, 2006)</v>
      </c>
      <c r="AH38" s="51" t="str">
        <f t="shared" si="6"/>
        <v>OR / RRR</v>
      </c>
      <c r="AK38" s="209"/>
      <c r="AL38" s="210"/>
      <c r="AM38" s="211"/>
      <c r="AN38" s="212"/>
      <c r="AO38" s="210"/>
      <c r="AP38" s="213"/>
      <c r="AQ38" s="213"/>
      <c r="AV38" s="6"/>
      <c r="AW38" s="6" t="str" cm="1">
        <f t="array" ref="AW38">INDEX($AV$1:$AV$100,INT((ROW(A38)-1)/3)+1)</f>
        <v>HTA Aspect - Technological Aspect Completeness</v>
      </c>
      <c r="AX38" s="6" t="str" cm="1">
        <f t="array" ref="AX38">INDEX({"OR","RRR","ME"},MOD(ROW(AH38)-1,3)+1)</f>
        <v>RRR</v>
      </c>
    </row>
    <row r="39" spans="18:50" ht="60">
      <c r="R39" s="44" t="str">
        <f t="shared" si="13"/>
        <v>HTA Aspect - Technological Aspect Completeness</v>
      </c>
      <c r="S39" s="51" t="str">
        <f t="shared" si="2"/>
        <v>RRR</v>
      </c>
      <c r="T39" s="51" t="str">
        <f t="shared" si="12"/>
        <v>0-0</v>
      </c>
      <c r="U39" s="51" t="e" cm="1" vm="1">
        <f t="array" ref="U39">_xlfn.TEXTJOIN(", ", TRUE, _xlfn.UNIQUE(_xlfn._xlws.FILTER(K$2:K$100, (A$2:A$100 = R39) * (D$2:D$100 = S39))))</f>
        <v>#VALUE!</v>
      </c>
      <c r="V39" s="51" t="str" cm="1">
        <f t="array" ref="V39">_xlfn.TEXTJOIN(", ", TRUE, _xlfn.UNIQUE(IF((A$2:A$100 = R39) * (D$2:D$100 = S39), L$2:L$100, "")))</f>
        <v/>
      </c>
      <c r="AA39" s="44" t="str">
        <f t="shared" si="0"/>
        <v>HTA Aspect - Technological Aspect Completeness</v>
      </c>
      <c r="AB39" s="51" t="str">
        <f t="shared" si="1"/>
        <v>RRR</v>
      </c>
      <c r="AC39" s="194" t="e">
        <f t="shared" si="3"/>
        <v>#VALUE!</v>
      </c>
      <c r="AD39" s="51" t="str">
        <f t="shared" si="4"/>
        <v>NA</v>
      </c>
      <c r="AE39" s="51" t="str">
        <f t="shared" si="5"/>
        <v>NA</v>
      </c>
      <c r="AF39" s="51" t="str" cm="1">
        <f t="array" ref="AF39">IFERROR(_xlfn.TEXTJOIN(", ", TRUE, _xlfn.UNIQUE(_xlfn._xlws.FILTER(K$2:K$100, (A$2:A$100 = AA39) * (D$2:D$100 = AB39) * (J$2:J$100 &lt;= 0.05)))), "")</f>
        <v/>
      </c>
      <c r="AG39" s="51" t="str" cm="1">
        <f t="array" ref="AG39">_xlfn.TEXTJOIN(", ", TRUE, _xlfn.UNIQUE(IF((A$2:A$100 = AA39) * (D$2:D$100 = AB39) * ((J$2:J$100 &lt;= 0.05)), L$2:L$100, "")))</f>
        <v/>
      </c>
      <c r="AH39" s="51" t="str">
        <f t="shared" si="6"/>
        <v>OR / RRR</v>
      </c>
      <c r="AK39" s="209"/>
      <c r="AL39" s="210"/>
      <c r="AM39" s="211"/>
      <c r="AN39" s="212"/>
      <c r="AO39" s="210"/>
      <c r="AP39" s="213"/>
      <c r="AQ39" s="213"/>
      <c r="AV39" s="6"/>
      <c r="AW39" s="6" t="str" cm="1">
        <f t="array" ref="AW39">INDEX($AV$1:$AV$100,INT((ROW(A39)-1)/3)+1)</f>
        <v>HTA Aspect - Technological Aspect Completeness</v>
      </c>
      <c r="AX39" s="6" t="str" cm="1">
        <f t="array" ref="AX39">INDEX({"OR","RRR","ME"},MOD(ROW(AH39)-1,3)+1)</f>
        <v>ME</v>
      </c>
    </row>
    <row r="40" spans="18:50" ht="60">
      <c r="R40" s="44" t="str">
        <f t="shared" si="13"/>
        <v>HTA Aspect - Technological Aspect Completeness</v>
      </c>
      <c r="S40" s="51" t="str">
        <f t="shared" si="2"/>
        <v>ME</v>
      </c>
      <c r="T40" s="51" t="str">
        <f t="shared" si="12"/>
        <v>0-0</v>
      </c>
      <c r="U40" s="51" t="e" cm="1" vm="1">
        <f t="array" ref="U40">_xlfn.TEXTJOIN(", ", TRUE, _xlfn.UNIQUE(_xlfn._xlws.FILTER(K$2:K$100, (A$2:A$100 = R40) * (D$2:D$100 = S40))))</f>
        <v>#VALUE!</v>
      </c>
      <c r="V40" s="51" t="str" cm="1">
        <f t="array" ref="V40">_xlfn.TEXTJOIN(", ", TRUE, _xlfn.UNIQUE(IF((A$2:A$100 = R40) * (D$2:D$100 = S40), L$2:L$100, "")))</f>
        <v/>
      </c>
      <c r="AA40" s="44" t="str">
        <f t="shared" si="0"/>
        <v>HTA Aspect - Technological Aspect Completeness</v>
      </c>
      <c r="AB40" s="51" t="str">
        <f t="shared" si="1"/>
        <v>ME</v>
      </c>
      <c r="AC40" s="194" t="e">
        <f t="shared" si="3"/>
        <v>#VALUE!</v>
      </c>
      <c r="AD40" s="51" t="str">
        <f t="shared" si="4"/>
        <v>NA</v>
      </c>
      <c r="AE40" s="51" t="str">
        <f t="shared" si="5"/>
        <v>NA</v>
      </c>
      <c r="AF40" s="51" t="str" cm="1">
        <f t="array" ref="AF40">IFERROR(_xlfn.TEXTJOIN(", ", TRUE, _xlfn.UNIQUE(_xlfn._xlws.FILTER(K$2:K$100, (A$2:A$100 = AA40) * (D$2:D$100 = AB40) * (J$2:J$100 &lt;= 0.05)))), "")</f>
        <v/>
      </c>
      <c r="AG40" s="51" t="str" cm="1">
        <f t="array" ref="AG40">_xlfn.TEXTJOIN(", ", TRUE, _xlfn.UNIQUE(IF((A$2:A$100 = AA40) * (D$2:D$100 = AB40) * ((J$2:J$100 &lt;= 0.05)), L$2:L$100, "")))</f>
        <v/>
      </c>
      <c r="AH40" s="51" t="str">
        <f t="shared" si="6"/>
        <v>ME</v>
      </c>
      <c r="AK40" s="209"/>
      <c r="AL40" s="210"/>
      <c r="AM40" s="211"/>
      <c r="AN40" s="212"/>
      <c r="AO40" s="210"/>
      <c r="AP40" s="213"/>
      <c r="AQ40" s="213"/>
      <c r="AV40" s="6"/>
      <c r="AW40" s="6" t="str" cm="1">
        <f t="array" ref="AW40">INDEX($AV$1:$AV$100,INT((ROW(A40)-1)/3)+1)</f>
        <v>Single Technology Appraisals</v>
      </c>
      <c r="AX40" s="6" t="str" cm="1">
        <f t="array" ref="AX40">INDEX({"OR","RRR","ME"},MOD(ROW(AH40)-1,3)+1)</f>
        <v>OR</v>
      </c>
    </row>
    <row r="41" spans="18:50" ht="45">
      <c r="R41" s="44" t="str">
        <f t="shared" si="13"/>
        <v>Single Technology Appraisals</v>
      </c>
      <c r="S41" s="51" t="str">
        <f t="shared" si="2"/>
        <v>OR</v>
      </c>
      <c r="T41" s="51" t="str">
        <f t="shared" si="12"/>
        <v>0,43-0,43</v>
      </c>
      <c r="U41" s="51" t="str" cm="1">
        <f t="array" ref="U41">_xlfn.TEXTJOIN(", ", TRUE, _xlfn.UNIQUE(_xlfn._xlws.FILTER(K$2:K$100, (A$2:A$100 = R41) * (D$2:D$100 = S41))))</f>
        <v>UK</v>
      </c>
      <c r="V41" s="51" t="str" cm="1">
        <f t="array" ref="V41">_xlfn.TEXTJOIN(", ", TRUE, _xlfn.UNIQUE(IF((A$2:A$100 = R41) * (D$2:D$100 = S41), L$2:L$100, "")))</f>
        <v>(H. Dakin, Devlin, Feng, Rice, O’Neill, et al., 2015)</v>
      </c>
      <c r="AA41" s="44" t="str">
        <f t="shared" si="0"/>
        <v>Single Technology Appraisals</v>
      </c>
      <c r="AB41" s="51" t="str">
        <f t="shared" si="1"/>
        <v>OR</v>
      </c>
      <c r="AC41" s="194">
        <f t="shared" si="3"/>
        <v>0.43</v>
      </c>
      <c r="AD41" s="51">
        <f t="shared" si="4"/>
        <v>0.42599999999999999</v>
      </c>
      <c r="AE41" s="51">
        <f t="shared" si="5"/>
        <v>0.42599999999999999</v>
      </c>
      <c r="AF41" s="51" t="str" cm="1">
        <f t="array" ref="AF41">IFERROR(_xlfn.TEXTJOIN(", ", TRUE, _xlfn.UNIQUE(_xlfn._xlws.FILTER(K$2:K$100, (A$2:A$100 = AA41) * (D$2:D$100 = AB41) * (J$2:J$100 &lt;= 0.05)))), "")</f>
        <v>UK</v>
      </c>
      <c r="AG41" s="51" t="str" cm="1">
        <f t="array" ref="AG41">_xlfn.TEXTJOIN(", ", TRUE, _xlfn.UNIQUE(IF((A$2:A$100 = AA41) * (D$2:D$100 = AB41) * ((J$2:J$100 &lt;= 0.05)), L$2:L$100, "")))</f>
        <v>(H. Dakin, Devlin, Feng, Rice, O’Neill, et al., 2015)</v>
      </c>
      <c r="AH41" s="51" t="str">
        <f t="shared" si="6"/>
        <v>OR / RRR</v>
      </c>
      <c r="AK41" s="209"/>
      <c r="AL41" s="210"/>
      <c r="AM41" s="211"/>
      <c r="AN41" s="212"/>
      <c r="AO41" s="210"/>
      <c r="AP41" s="213"/>
      <c r="AQ41" s="213"/>
      <c r="AV41" s="6"/>
      <c r="AW41" s="6" t="str" cm="1">
        <f t="array" ref="AW41">INDEX($AV$1:$AV$100,INT((ROW(A41)-1)/3)+1)</f>
        <v>Single Technology Appraisals</v>
      </c>
      <c r="AX41" s="6" t="str" cm="1">
        <f t="array" ref="AX41">INDEX({"OR","RRR","ME"},MOD(ROW(AH41)-1,3)+1)</f>
        <v>RRR</v>
      </c>
    </row>
    <row r="42" spans="18:50" ht="45">
      <c r="R42" s="44" t="str">
        <f t="shared" si="13"/>
        <v>Single Technology Appraisals</v>
      </c>
      <c r="S42" s="51" t="str">
        <f t="shared" si="2"/>
        <v>RRR</v>
      </c>
      <c r="T42" s="51" t="str">
        <f t="shared" si="12"/>
        <v>0-0</v>
      </c>
      <c r="U42" s="51" t="e" cm="1" vm="1">
        <f t="array" ref="U42">_xlfn.TEXTJOIN(", ", TRUE, _xlfn.UNIQUE(_xlfn._xlws.FILTER(K$2:K$100, (A$2:A$100 = R42) * (D$2:D$100 = S42))))</f>
        <v>#VALUE!</v>
      </c>
      <c r="V42" s="51" t="str" cm="1">
        <f t="array" ref="V42">_xlfn.TEXTJOIN(", ", TRUE, _xlfn.UNIQUE(IF((A$2:A$100 = R42) * (D$2:D$100 = S42), L$2:L$100, "")))</f>
        <v/>
      </c>
      <c r="AA42" s="44" t="str">
        <f t="shared" si="0"/>
        <v>Single Technology Appraisals</v>
      </c>
      <c r="AB42" s="51" t="str">
        <f t="shared" si="1"/>
        <v>RRR</v>
      </c>
      <c r="AC42" s="194" t="e">
        <f t="shared" si="3"/>
        <v>#VALUE!</v>
      </c>
      <c r="AD42" s="51" t="str">
        <f t="shared" si="4"/>
        <v>NA</v>
      </c>
      <c r="AE42" s="51" t="str">
        <f t="shared" si="5"/>
        <v>NA</v>
      </c>
      <c r="AF42" s="51" t="str" cm="1">
        <f t="array" ref="AF42">IFERROR(_xlfn.TEXTJOIN(", ", TRUE, _xlfn.UNIQUE(_xlfn._xlws.FILTER(K$2:K$100, (A$2:A$100 = AA42) * (D$2:D$100 = AB42) * (J$2:J$100 &lt;= 0.05)))), "")</f>
        <v/>
      </c>
      <c r="AG42" s="51" t="str" cm="1">
        <f t="array" ref="AG42">_xlfn.TEXTJOIN(", ", TRUE, _xlfn.UNIQUE(IF((A$2:A$100 = AA42) * (D$2:D$100 = AB42) * ((J$2:J$100 &lt;= 0.05)), L$2:L$100, "")))</f>
        <v/>
      </c>
      <c r="AH42" s="51" t="str">
        <f t="shared" si="6"/>
        <v>OR / RRR</v>
      </c>
      <c r="AK42" s="209"/>
      <c r="AL42" s="210"/>
      <c r="AM42" s="211"/>
      <c r="AN42" s="212"/>
      <c r="AO42" s="210"/>
      <c r="AP42" s="213"/>
      <c r="AQ42" s="213"/>
      <c r="AV42" s="6"/>
      <c r="AW42" s="6" t="str" cm="1">
        <f t="array" ref="AW42">INDEX($AV$1:$AV$100,INT((ROW(A42)-1)/3)+1)</f>
        <v>Single Technology Appraisals</v>
      </c>
      <c r="AX42" s="6" t="str" cm="1">
        <f t="array" ref="AX42">INDEX({"OR","RRR","ME"},MOD(ROW(AH42)-1,3)+1)</f>
        <v>ME</v>
      </c>
    </row>
    <row r="43" spans="18:50" ht="45">
      <c r="R43" s="44" t="str">
        <f t="shared" si="13"/>
        <v>Single Technology Appraisals</v>
      </c>
      <c r="S43" s="51" t="str">
        <f t="shared" si="2"/>
        <v>ME</v>
      </c>
      <c r="T43" s="51" t="str">
        <f t="shared" si="12"/>
        <v>0-0</v>
      </c>
      <c r="U43" s="51" t="e" cm="1" vm="1">
        <f t="array" ref="U43">_xlfn.TEXTJOIN(", ", TRUE, _xlfn.UNIQUE(_xlfn._xlws.FILTER(K$2:K$100, (A$2:A$100 = R43) * (D$2:D$100 = S43))))</f>
        <v>#VALUE!</v>
      </c>
      <c r="V43" s="51" t="str" cm="1">
        <f t="array" ref="V43">_xlfn.TEXTJOIN(", ", TRUE, _xlfn.UNIQUE(IF((A$2:A$100 = R43) * (D$2:D$100 = S43), L$2:L$100, "")))</f>
        <v/>
      </c>
      <c r="AA43" s="44" t="str">
        <f t="shared" si="0"/>
        <v>Single Technology Appraisals</v>
      </c>
      <c r="AB43" s="51" t="str">
        <f t="shared" si="1"/>
        <v>ME</v>
      </c>
      <c r="AC43" s="194" t="e">
        <f t="shared" si="3"/>
        <v>#VALUE!</v>
      </c>
      <c r="AD43" s="51" t="str">
        <f t="shared" si="4"/>
        <v>NA</v>
      </c>
      <c r="AE43" s="51" t="str">
        <f t="shared" si="5"/>
        <v>NA</v>
      </c>
      <c r="AF43" s="51" t="str" cm="1">
        <f t="array" ref="AF43">IFERROR(_xlfn.TEXTJOIN(", ", TRUE, _xlfn.UNIQUE(_xlfn._xlws.FILTER(K$2:K$100, (A$2:A$100 = AA43) * (D$2:D$100 = AB43) * (J$2:J$100 &lt;= 0.05)))), "")</f>
        <v/>
      </c>
      <c r="AG43" s="51" t="str" cm="1">
        <f t="array" ref="AG43">_xlfn.TEXTJOIN(", ", TRUE, _xlfn.UNIQUE(IF((A$2:A$100 = AA43) * (D$2:D$100 = AB43) * ((J$2:J$100 &lt;= 0.05)), L$2:L$100, "")))</f>
        <v/>
      </c>
      <c r="AH43" s="51" t="str">
        <f t="shared" si="6"/>
        <v>ME</v>
      </c>
      <c r="AV43" s="6"/>
      <c r="AW43" s="6" cm="1">
        <f t="array" ref="AW43">INDEX($AV$1:$AV$100,INT((ROW(A43)-1)/3)+1)</f>
        <v>0</v>
      </c>
      <c r="AX43" s="6" t="str" cm="1">
        <f t="array" ref="AX43">INDEX({"OR","RRR","ME"},MOD(ROW(AH43)-1,3)+1)</f>
        <v>OR</v>
      </c>
    </row>
    <row r="44" spans="18:50">
      <c r="R44" s="44"/>
      <c r="S44" s="51"/>
      <c r="T44" s="51"/>
      <c r="U44" s="51"/>
      <c r="V44" s="51"/>
      <c r="AA44" s="44"/>
      <c r="AB44" s="51"/>
      <c r="AC44" s="51"/>
      <c r="AD44" s="51"/>
      <c r="AE44" s="51"/>
      <c r="AF44" s="51"/>
      <c r="AG44" s="51"/>
      <c r="AV44" s="6"/>
      <c r="AW44" s="6" cm="1">
        <f t="array" ref="AW44">INDEX($AV$1:$AV$100,INT((ROW(A44)-1)/3)+1)</f>
        <v>0</v>
      </c>
      <c r="AX44" s="6" t="str" cm="1">
        <f t="array" ref="AX44">INDEX({"OR","RRR","ME"},MOD(ROW(AH44)-1,3)+1)</f>
        <v>RRR</v>
      </c>
    </row>
    <row r="45" spans="18:50">
      <c r="R45" s="44"/>
      <c r="S45" s="51"/>
      <c r="T45" s="51"/>
      <c r="U45" s="51"/>
      <c r="V45" s="51"/>
      <c r="AA45" s="44"/>
      <c r="AB45" s="51"/>
      <c r="AC45" s="51"/>
      <c r="AD45" s="51"/>
      <c r="AE45" s="51"/>
      <c r="AF45" s="51"/>
      <c r="AG45" s="51"/>
      <c r="AV45" s="6"/>
      <c r="AW45" s="6" cm="1">
        <f t="array" ref="AW45">INDEX($AV$1:$AV$100,INT((ROW(A45)-1)/3)+1)</f>
        <v>0</v>
      </c>
      <c r="AX45" s="6" t="str" cm="1">
        <f t="array" ref="AX45">INDEX({"OR","RRR","ME"},MOD(ROW(AH45)-1,3)+1)</f>
        <v>ME</v>
      </c>
    </row>
    <row r="46" spans="18:50">
      <c r="R46" s="44"/>
      <c r="S46" s="51"/>
      <c r="T46" s="51"/>
      <c r="U46" s="51"/>
      <c r="V46" s="51"/>
      <c r="AA46" s="44"/>
      <c r="AB46" s="51"/>
      <c r="AC46" s="51"/>
      <c r="AD46" s="51"/>
      <c r="AE46" s="51"/>
      <c r="AF46" s="51"/>
      <c r="AG46" s="51"/>
      <c r="AV46" s="6"/>
      <c r="AW46" s="6" cm="1">
        <f t="array" ref="AW46">INDEX($AV$1:$AV$100,INT((ROW(A46)-1)/3)+1)</f>
        <v>0</v>
      </c>
      <c r="AX46" s="6" t="str" cm="1">
        <f t="array" ref="AX46">INDEX({"OR","RRR","ME"},MOD(ROW(AH46)-1,3)+1)</f>
        <v>OR</v>
      </c>
    </row>
    <row r="47" spans="18:50">
      <c r="R47" s="44"/>
      <c r="S47" s="51"/>
      <c r="T47" s="51"/>
      <c r="U47" s="51"/>
      <c r="V47" s="51"/>
      <c r="AA47" s="44"/>
      <c r="AB47" s="51"/>
      <c r="AC47" s="51"/>
      <c r="AD47" s="51"/>
      <c r="AE47" s="51"/>
      <c r="AF47" s="51"/>
      <c r="AG47" s="51"/>
      <c r="AV47" s="6"/>
      <c r="AW47" s="6" cm="1">
        <f t="array" ref="AW47">INDEX($AV$1:$AV$100,INT((ROW(A47)-1)/3)+1)</f>
        <v>0</v>
      </c>
      <c r="AX47" s="6" t="str" cm="1">
        <f t="array" ref="AX47">INDEX({"OR","RRR","ME"},MOD(ROW(AH47)-1,3)+1)</f>
        <v>RRR</v>
      </c>
    </row>
    <row r="48" spans="18:50">
      <c r="R48" s="44"/>
      <c r="S48" s="51"/>
      <c r="T48" s="51"/>
      <c r="U48" s="51"/>
      <c r="V48" s="51"/>
      <c r="AA48" s="44"/>
      <c r="AB48" s="51"/>
      <c r="AC48" s="51"/>
      <c r="AD48" s="51"/>
      <c r="AE48" s="51"/>
      <c r="AF48" s="51"/>
      <c r="AG48" s="51"/>
      <c r="AV48" s="6"/>
      <c r="AW48" s="6" cm="1">
        <f t="array" ref="AW48">INDEX($AV$1:$AV$100,INT((ROW(A48)-1)/3)+1)</f>
        <v>0</v>
      </c>
      <c r="AX48" s="6" t="str" cm="1">
        <f t="array" ref="AX48">INDEX({"OR","RRR","ME"},MOD(ROW(AH48)-1,3)+1)</f>
        <v>ME</v>
      </c>
    </row>
    <row r="49" spans="18:50">
      <c r="R49" s="44"/>
      <c r="S49" s="51"/>
      <c r="T49" s="51"/>
      <c r="U49" s="51"/>
      <c r="V49" s="51"/>
      <c r="AA49" s="44"/>
      <c r="AB49" s="51"/>
      <c r="AC49" s="51"/>
      <c r="AD49" s="51"/>
      <c r="AE49" s="51"/>
      <c r="AF49" s="51"/>
      <c r="AG49" s="51"/>
      <c r="AV49" s="6"/>
      <c r="AW49" s="6" cm="1">
        <f t="array" ref="AW49">INDEX($AV$1:$AV$100,INT((ROW(A49)-1)/3)+1)</f>
        <v>0</v>
      </c>
      <c r="AX49" s="6" t="str" cm="1">
        <f t="array" ref="AX49">INDEX({"OR","RRR","ME"},MOD(ROW(AH49)-1,3)+1)</f>
        <v>OR</v>
      </c>
    </row>
    <row r="50" spans="18:50">
      <c r="R50" s="44"/>
      <c r="S50" s="51"/>
      <c r="T50" s="51"/>
      <c r="U50" s="51"/>
      <c r="V50" s="51"/>
      <c r="AA50" s="44"/>
      <c r="AB50" s="51"/>
      <c r="AC50" s="51"/>
      <c r="AD50" s="51"/>
      <c r="AE50" s="51"/>
      <c r="AF50" s="51"/>
      <c r="AG50" s="51"/>
      <c r="AV50" s="6"/>
      <c r="AW50" s="6" cm="1">
        <f t="array" ref="AW50">INDEX($AV$1:$AV$100,INT((ROW(A50)-1)/3)+1)</f>
        <v>0</v>
      </c>
      <c r="AX50" s="6" t="str" cm="1">
        <f t="array" ref="AX50">INDEX({"OR","RRR","ME"},MOD(ROW(AH50)-1,3)+1)</f>
        <v>RRR</v>
      </c>
    </row>
    <row r="51" spans="18:50">
      <c r="R51" s="44"/>
      <c r="S51" s="51"/>
      <c r="T51" s="51"/>
      <c r="U51" s="51"/>
      <c r="V51" s="51"/>
      <c r="AA51" s="44"/>
      <c r="AB51" s="51"/>
      <c r="AC51" s="51"/>
      <c r="AD51" s="51"/>
      <c r="AE51" s="51"/>
      <c r="AF51" s="51"/>
      <c r="AG51" s="51"/>
      <c r="AV51" s="6"/>
      <c r="AW51" s="6" cm="1">
        <f t="array" ref="AW51">INDEX($AV$1:$AV$100,INT((ROW(A51)-1)/3)+1)</f>
        <v>0</v>
      </c>
      <c r="AX51" s="6" t="str" cm="1">
        <f t="array" ref="AX51">INDEX({"OR","RRR","ME"},MOD(ROW(AH51)-1,3)+1)</f>
        <v>ME</v>
      </c>
    </row>
    <row r="52" spans="18:50">
      <c r="R52" s="44"/>
      <c r="S52" s="51"/>
      <c r="T52" s="51"/>
      <c r="U52" s="51"/>
      <c r="V52" s="51"/>
      <c r="AA52" s="44"/>
      <c r="AB52" s="51"/>
      <c r="AC52" s="51"/>
      <c r="AD52" s="51"/>
      <c r="AE52" s="51"/>
      <c r="AF52" s="51"/>
      <c r="AG52" s="51"/>
      <c r="AV52" s="6"/>
      <c r="AW52" s="6" cm="1">
        <f t="array" ref="AW52">INDEX($AV$1:$AV$100,INT((ROW(A52)-1)/3)+1)</f>
        <v>0</v>
      </c>
      <c r="AX52" s="6" t="str" cm="1">
        <f t="array" ref="AX52">INDEX({"OR","RRR","ME"},MOD(ROW(AH52)-1,3)+1)</f>
        <v>OR</v>
      </c>
    </row>
    <row r="53" spans="18:50">
      <c r="R53" s="44"/>
      <c r="S53" s="51"/>
      <c r="T53" s="51"/>
      <c r="U53" s="51"/>
      <c r="V53" s="51"/>
      <c r="AA53" s="44"/>
      <c r="AB53" s="51"/>
      <c r="AC53" s="51"/>
      <c r="AD53" s="51"/>
      <c r="AE53" s="51"/>
      <c r="AF53" s="51"/>
      <c r="AG53" s="51"/>
      <c r="AV53" s="6"/>
      <c r="AW53" s="6" cm="1">
        <f t="array" ref="AW53">INDEX($AV$1:$AV$100,INT((ROW(A53)-1)/3)+1)</f>
        <v>0</v>
      </c>
      <c r="AX53" s="6" t="str" cm="1">
        <f t="array" ref="AX53">INDEX({"OR","RRR","ME"},MOD(ROW(AH53)-1,3)+1)</f>
        <v>RRR</v>
      </c>
    </row>
    <row r="54" spans="18:50">
      <c r="R54" s="44"/>
      <c r="S54" s="51"/>
      <c r="T54" s="51"/>
      <c r="U54" s="51"/>
      <c r="V54" s="51"/>
      <c r="AA54" s="44"/>
      <c r="AB54" s="51"/>
      <c r="AC54" s="51"/>
      <c r="AD54" s="51"/>
      <c r="AE54" s="51"/>
      <c r="AF54" s="51"/>
      <c r="AG54" s="51"/>
      <c r="AV54" s="6"/>
      <c r="AW54" s="6" cm="1">
        <f t="array" ref="AW54">INDEX($AV$1:$AV$100,INT((ROW(A54)-1)/3)+1)</f>
        <v>0</v>
      </c>
      <c r="AX54" s="6" t="str" cm="1">
        <f t="array" ref="AX54">INDEX({"OR","RRR","ME"},MOD(ROW(AH54)-1,3)+1)</f>
        <v>ME</v>
      </c>
    </row>
    <row r="55" spans="18:50">
      <c r="R55" s="44"/>
      <c r="S55" s="51"/>
      <c r="T55" s="51"/>
      <c r="U55" s="51"/>
      <c r="V55" s="51"/>
      <c r="AA55" s="44"/>
      <c r="AB55" s="51"/>
      <c r="AC55" s="51"/>
      <c r="AD55" s="51"/>
      <c r="AE55" s="51"/>
      <c r="AF55" s="51"/>
      <c r="AG55" s="51"/>
      <c r="AV55" s="6"/>
      <c r="AW55" s="6" cm="1">
        <f t="array" ref="AW55">INDEX($AV$1:$AV$100,INT((ROW(A55)-1)/3)+1)</f>
        <v>0</v>
      </c>
      <c r="AX55" s="6" t="str" cm="1">
        <f t="array" ref="AX55">INDEX({"OR","RRR","ME"},MOD(ROW(AH55)-1,3)+1)</f>
        <v>OR</v>
      </c>
    </row>
    <row r="56" spans="18:50">
      <c r="R56" s="44"/>
      <c r="S56" s="51"/>
      <c r="T56" s="51"/>
      <c r="U56" s="51"/>
      <c r="V56" s="51"/>
      <c r="AA56" s="44"/>
      <c r="AB56" s="51"/>
      <c r="AC56" s="51"/>
      <c r="AD56" s="51"/>
      <c r="AE56" s="51"/>
      <c r="AF56" s="51"/>
      <c r="AG56" s="51"/>
      <c r="AV56" s="6"/>
      <c r="AW56" s="6" cm="1">
        <f t="array" ref="AW56">INDEX($AV$1:$AV$100,INT((ROW(A56)-1)/3)+1)</f>
        <v>0</v>
      </c>
      <c r="AX56" s="6" t="str" cm="1">
        <f t="array" ref="AX56">INDEX({"OR","RRR","ME"},MOD(ROW(AH56)-1,3)+1)</f>
        <v>RRR</v>
      </c>
    </row>
    <row r="57" spans="18:50">
      <c r="R57" s="44"/>
      <c r="S57" s="51"/>
      <c r="T57" s="51"/>
      <c r="U57" s="51"/>
      <c r="V57" s="51"/>
      <c r="AA57" s="44"/>
      <c r="AB57" s="51"/>
      <c r="AC57" s="51"/>
      <c r="AD57" s="51"/>
      <c r="AE57" s="51"/>
      <c r="AF57" s="51"/>
      <c r="AG57" s="51"/>
      <c r="AV57" s="6"/>
      <c r="AW57" s="6" cm="1">
        <f t="array" ref="AW57">INDEX($AV$1:$AV$100,INT((ROW(A57)-1)/3)+1)</f>
        <v>0</v>
      </c>
      <c r="AX57" s="6" t="str" cm="1">
        <f t="array" ref="AX57">INDEX({"OR","RRR","ME"},MOD(ROW(AH57)-1,3)+1)</f>
        <v>ME</v>
      </c>
    </row>
    <row r="58" spans="18:50">
      <c r="R58" s="44"/>
      <c r="S58" s="51"/>
      <c r="T58" s="51"/>
      <c r="U58" s="51"/>
      <c r="V58" s="51"/>
      <c r="AA58" s="44"/>
      <c r="AB58" s="51"/>
      <c r="AC58" s="51"/>
      <c r="AD58" s="51"/>
      <c r="AE58" s="51"/>
      <c r="AF58" s="51"/>
      <c r="AG58" s="51"/>
      <c r="AV58" s="6"/>
      <c r="AW58" s="6" cm="1">
        <f t="array" ref="AW58">INDEX($AV$1:$AV$100,INT((ROW(A58)-1)/3)+1)</f>
        <v>0</v>
      </c>
      <c r="AX58" s="6" t="str" cm="1">
        <f t="array" ref="AX58">INDEX({"OR","RRR","ME"},MOD(ROW(AH58)-1,3)+1)</f>
        <v>OR</v>
      </c>
    </row>
    <row r="59" spans="18:50">
      <c r="R59" s="44"/>
      <c r="S59" s="51"/>
      <c r="T59" s="51"/>
      <c r="U59" s="51"/>
      <c r="V59" s="51"/>
      <c r="AA59" s="44"/>
      <c r="AB59" s="51"/>
      <c r="AC59" s="51"/>
      <c r="AD59" s="51"/>
      <c r="AE59" s="51"/>
      <c r="AF59" s="51"/>
      <c r="AG59" s="51"/>
      <c r="AV59" s="6"/>
      <c r="AW59" s="6" cm="1">
        <f t="array" ref="AW59">INDEX($AV$1:$AV$100,INT((ROW(A59)-1)/3)+1)</f>
        <v>0</v>
      </c>
      <c r="AX59" s="6" t="str" cm="1">
        <f t="array" ref="AX59">INDEX({"OR","RRR","ME"},MOD(ROW(AH59)-1,3)+1)</f>
        <v>RRR</v>
      </c>
    </row>
    <row r="60" spans="18:50">
      <c r="R60" s="44"/>
      <c r="S60" s="51"/>
      <c r="T60" s="51"/>
      <c r="U60" s="51"/>
      <c r="V60" s="51"/>
      <c r="AA60" s="44"/>
      <c r="AB60" s="51"/>
      <c r="AC60" s="51"/>
      <c r="AD60" s="51"/>
      <c r="AE60" s="51"/>
      <c r="AF60" s="51"/>
      <c r="AG60" s="51"/>
      <c r="AV60" s="6"/>
      <c r="AW60" s="6" cm="1">
        <f t="array" ref="AW60">INDEX($AV$1:$AV$100,INT((ROW(A60)-1)/3)+1)</f>
        <v>0</v>
      </c>
      <c r="AX60" s="6" t="str" cm="1">
        <f t="array" ref="AX60">INDEX({"OR","RRR","ME"},MOD(ROW(AH60)-1,3)+1)</f>
        <v>ME</v>
      </c>
    </row>
    <row r="61" spans="18:50">
      <c r="R61" s="44"/>
      <c r="S61" s="51"/>
      <c r="T61" s="51"/>
      <c r="U61" s="51"/>
      <c r="V61" s="51"/>
      <c r="AA61" s="44"/>
      <c r="AB61" s="51"/>
      <c r="AC61" s="51"/>
      <c r="AD61" s="51"/>
      <c r="AE61" s="51"/>
      <c r="AF61" s="51"/>
      <c r="AG61" s="51"/>
      <c r="AV61" s="6"/>
      <c r="AW61" s="6" cm="1">
        <f t="array" ref="AW61">INDEX($AV$1:$AV$100,INT((ROW(A61)-1)/3)+1)</f>
        <v>0</v>
      </c>
      <c r="AX61" s="6" t="str" cm="1">
        <f t="array" ref="AX61">INDEX({"OR","RRR","ME"},MOD(ROW(AH61)-1,3)+1)</f>
        <v>OR</v>
      </c>
    </row>
    <row r="62" spans="18:50">
      <c r="R62" s="44"/>
      <c r="S62" s="51"/>
      <c r="T62" s="51"/>
      <c r="U62" s="51"/>
      <c r="V62" s="51"/>
      <c r="AA62" s="44"/>
      <c r="AB62" s="51"/>
      <c r="AC62" s="51"/>
      <c r="AD62" s="51"/>
      <c r="AE62" s="51"/>
      <c r="AF62" s="51"/>
      <c r="AG62" s="51"/>
      <c r="AV62" s="6"/>
      <c r="AW62" s="6" cm="1">
        <f t="array" ref="AW62">INDEX($AV$1:$AV$100,INT((ROW(A62)-1)/3)+1)</f>
        <v>0</v>
      </c>
      <c r="AX62" s="6" t="str" cm="1">
        <f t="array" ref="AX62">INDEX({"OR","RRR","ME"},MOD(ROW(AH62)-1,3)+1)</f>
        <v>RRR</v>
      </c>
    </row>
    <row r="63" spans="18:50">
      <c r="R63" s="44"/>
      <c r="S63" s="51"/>
      <c r="T63" s="51"/>
      <c r="U63" s="51"/>
      <c r="V63" s="51"/>
      <c r="AA63" s="44"/>
      <c r="AB63" s="51"/>
      <c r="AC63" s="51"/>
      <c r="AD63" s="51"/>
      <c r="AE63" s="51"/>
      <c r="AF63" s="51"/>
      <c r="AG63" s="51"/>
      <c r="AV63" s="6"/>
      <c r="AW63" s="6" cm="1">
        <f t="array" ref="AW63">INDEX($AV$1:$AV$100,INT((ROW(A63)-1)/3)+1)</f>
        <v>0</v>
      </c>
      <c r="AX63" s="6" t="str" cm="1">
        <f t="array" ref="AX63">INDEX({"OR","RRR","ME"},MOD(ROW(AH63)-1,3)+1)</f>
        <v>ME</v>
      </c>
    </row>
    <row r="64" spans="18:50">
      <c r="R64" s="44"/>
      <c r="S64" s="51"/>
      <c r="T64" s="51"/>
      <c r="U64" s="51"/>
      <c r="V64" s="51"/>
      <c r="AA64" s="44"/>
      <c r="AB64" s="51"/>
      <c r="AC64" s="51"/>
      <c r="AD64" s="51"/>
      <c r="AE64" s="51"/>
      <c r="AF64" s="51"/>
      <c r="AG64" s="51"/>
      <c r="AV64" s="6"/>
      <c r="AW64" s="6" cm="1">
        <f t="array" ref="AW64">INDEX($AV$1:$AV$100,INT((ROW(A64)-1)/3)+1)</f>
        <v>0</v>
      </c>
      <c r="AX64" s="6" t="str" cm="1">
        <f t="array" ref="AX64">INDEX({"OR","RRR","ME"},MOD(ROW(AH64)-1,3)+1)</f>
        <v>OR</v>
      </c>
    </row>
    <row r="65" spans="18:50">
      <c r="R65" s="44"/>
      <c r="S65" s="51"/>
      <c r="T65" s="51"/>
      <c r="U65" s="51"/>
      <c r="V65" s="51"/>
      <c r="AA65" s="44"/>
      <c r="AB65" s="51"/>
      <c r="AC65" s="51"/>
      <c r="AD65" s="51"/>
      <c r="AE65" s="51"/>
      <c r="AF65" s="51"/>
      <c r="AG65" s="51"/>
      <c r="AV65" s="6"/>
      <c r="AW65" s="6" cm="1">
        <f t="array" ref="AW65">INDEX($AV$1:$AV$100,INT((ROW(A65)-1)/3)+1)</f>
        <v>0</v>
      </c>
      <c r="AX65" s="6" t="str" cm="1">
        <f t="array" ref="AX65">INDEX({"OR","RRR","ME"},MOD(ROW(AH65)-1,3)+1)</f>
        <v>RRR</v>
      </c>
    </row>
    <row r="66" spans="18:50">
      <c r="R66" s="44"/>
      <c r="S66" s="51"/>
      <c r="T66" s="51"/>
      <c r="U66" s="51"/>
      <c r="V66" s="51"/>
      <c r="AA66" s="44"/>
      <c r="AB66" s="51"/>
      <c r="AC66" s="51"/>
      <c r="AD66" s="51"/>
      <c r="AE66" s="51"/>
      <c r="AF66" s="51"/>
      <c r="AG66" s="51"/>
      <c r="AV66" s="6"/>
      <c r="AW66" s="6" cm="1">
        <f t="array" ref="AW66">INDEX($AV$1:$AV$100,INT((ROW(A66)-1)/3)+1)</f>
        <v>0</v>
      </c>
      <c r="AX66" s="6" t="str" cm="1">
        <f t="array" ref="AX66">INDEX({"OR","RRR","ME"},MOD(ROW(AH66)-1,3)+1)</f>
        <v>ME</v>
      </c>
    </row>
    <row r="67" spans="18:50">
      <c r="R67" s="44"/>
      <c r="S67" s="51"/>
      <c r="T67" s="51"/>
      <c r="U67" s="51"/>
      <c r="V67" s="51"/>
      <c r="AA67" s="44"/>
      <c r="AB67" s="51"/>
      <c r="AC67" s="51"/>
      <c r="AD67" s="51"/>
      <c r="AE67" s="51"/>
      <c r="AF67" s="51"/>
      <c r="AG67" s="51"/>
      <c r="AV67" s="6"/>
      <c r="AW67" s="6" cm="1">
        <f t="array" ref="AW67">INDEX($AV$1:$AV$100,INT((ROW(A67)-1)/3)+1)</f>
        <v>0</v>
      </c>
      <c r="AX67" s="6" t="str" cm="1">
        <f t="array" ref="AX67">INDEX({"OR","RRR","ME"},MOD(ROW(AH67)-1,3)+1)</f>
        <v>OR</v>
      </c>
    </row>
    <row r="68" spans="18:50">
      <c r="R68" s="44"/>
      <c r="S68" s="51"/>
      <c r="T68" s="51"/>
      <c r="U68" s="51"/>
      <c r="V68" s="51"/>
      <c r="AA68" s="44"/>
      <c r="AB68" s="51"/>
      <c r="AC68" s="51"/>
      <c r="AD68" s="51"/>
      <c r="AE68" s="51"/>
      <c r="AF68" s="51"/>
      <c r="AG68" s="51"/>
      <c r="AV68" s="6"/>
      <c r="AW68" s="6" cm="1">
        <f t="array" ref="AW68">INDEX($AV$1:$AV$100,INT((ROW(A68)-1)/3)+1)</f>
        <v>0</v>
      </c>
      <c r="AX68" s="6" t="str" cm="1">
        <f t="array" ref="AX68">INDEX({"OR","RRR","ME"},MOD(ROW(AH68)-1,3)+1)</f>
        <v>RRR</v>
      </c>
    </row>
    <row r="69" spans="18:50">
      <c r="R69" s="44"/>
      <c r="S69" s="51"/>
      <c r="T69" s="51"/>
      <c r="U69" s="51"/>
      <c r="V69" s="51"/>
      <c r="AA69" s="44"/>
      <c r="AB69" s="51"/>
      <c r="AC69" s="51"/>
      <c r="AD69" s="51"/>
      <c r="AE69" s="51"/>
      <c r="AF69" s="51"/>
      <c r="AG69" s="51"/>
      <c r="AV69" s="6"/>
      <c r="AW69" s="6" cm="1">
        <f t="array" ref="AW69">INDEX($AV$1:$AV$100,INT((ROW(A69)-1)/3)+1)</f>
        <v>0</v>
      </c>
      <c r="AX69" s="6" t="str" cm="1">
        <f t="array" ref="AX69">INDEX({"OR","RRR","ME"},MOD(ROW(AH69)-1,3)+1)</f>
        <v>ME</v>
      </c>
    </row>
    <row r="70" spans="18:50">
      <c r="R70" s="44"/>
      <c r="S70" s="51"/>
      <c r="T70" s="51"/>
      <c r="U70" s="51"/>
      <c r="V70" s="51"/>
      <c r="AA70" s="44"/>
      <c r="AB70" s="51"/>
      <c r="AC70" s="51"/>
      <c r="AD70" s="51"/>
      <c r="AE70" s="51"/>
      <c r="AF70" s="51"/>
      <c r="AG70" s="51"/>
      <c r="AV70" s="6"/>
      <c r="AW70" s="6" cm="1">
        <f t="array" ref="AW70">INDEX($AV$1:$AV$100,INT((ROW(A70)-1)/3)+1)</f>
        <v>0</v>
      </c>
      <c r="AX70" s="6"/>
    </row>
    <row r="71" spans="18:50">
      <c r="R71" s="44"/>
      <c r="S71" s="51"/>
      <c r="T71" s="51"/>
      <c r="U71" s="51"/>
      <c r="V71" s="51"/>
      <c r="AA71" s="44"/>
      <c r="AB71" s="51"/>
      <c r="AC71" s="51"/>
      <c r="AD71" s="51"/>
      <c r="AE71" s="51"/>
      <c r="AF71" s="51"/>
      <c r="AG71" s="51"/>
      <c r="AV71" s="6"/>
      <c r="AW71" s="6" cm="1">
        <f t="array" ref="AW71">INDEX($AV$1:$AV$100,INT((ROW(A71)-1)/3)+1)</f>
        <v>0</v>
      </c>
      <c r="AX71" s="6"/>
    </row>
    <row r="72" spans="18:50">
      <c r="R72" s="44"/>
      <c r="S72" s="51"/>
      <c r="T72" s="51"/>
      <c r="U72" s="51"/>
      <c r="V72" s="51"/>
      <c r="AA72" s="44"/>
      <c r="AB72" s="51"/>
      <c r="AC72" s="51"/>
      <c r="AD72" s="51"/>
      <c r="AE72" s="51"/>
      <c r="AF72" s="51"/>
      <c r="AG72" s="51"/>
      <c r="AV72" s="6"/>
      <c r="AW72" s="6" cm="1">
        <f t="array" ref="AW72">INDEX($AV$1:$AV$100,INT((ROW(A72)-1)/3)+1)</f>
        <v>0</v>
      </c>
      <c r="AX72" s="6"/>
    </row>
    <row r="73" spans="18:50">
      <c r="R73" s="44"/>
      <c r="S73" s="51"/>
      <c r="T73" s="51"/>
      <c r="U73" s="51"/>
      <c r="V73" s="51"/>
      <c r="AA73" s="44"/>
      <c r="AB73" s="51"/>
      <c r="AC73" s="51"/>
      <c r="AD73" s="51"/>
      <c r="AE73" s="51"/>
      <c r="AF73" s="51"/>
      <c r="AG73" s="51"/>
      <c r="AV73" s="6"/>
      <c r="AW73" s="6" cm="1">
        <f t="array" ref="AW73">INDEX($AV$1:$AV$100,INT((ROW(A73)-1)/3)+1)</f>
        <v>0</v>
      </c>
      <c r="AX73" s="6"/>
    </row>
    <row r="74" spans="18:50">
      <c r="R74" s="44"/>
      <c r="S74" s="51"/>
      <c r="T74" s="51"/>
      <c r="U74" s="51"/>
      <c r="V74" s="51"/>
      <c r="AA74" s="44"/>
      <c r="AB74" s="51"/>
      <c r="AC74" s="51"/>
      <c r="AD74" s="51"/>
      <c r="AE74" s="51"/>
      <c r="AF74" s="51"/>
      <c r="AG74" s="51"/>
      <c r="AV74" s="6"/>
      <c r="AW74" s="6" cm="1">
        <f t="array" ref="AW74">INDEX($AV$1:$AV$100,INT((ROW(A74)-1)/3)+1)</f>
        <v>0</v>
      </c>
      <c r="AX74" s="6"/>
    </row>
    <row r="75" spans="18:50">
      <c r="R75" s="44"/>
      <c r="S75" s="51"/>
      <c r="T75" s="51"/>
      <c r="U75" s="51"/>
      <c r="V75" s="51"/>
      <c r="AA75" s="44"/>
      <c r="AB75" s="51"/>
      <c r="AC75" s="51"/>
      <c r="AD75" s="51"/>
      <c r="AE75" s="51"/>
      <c r="AF75" s="51"/>
      <c r="AG75" s="51"/>
      <c r="AV75" s="6"/>
      <c r="AW75" s="6" cm="1">
        <f t="array" ref="AW75">INDEX($AV$1:$AV$100,INT((ROW(A75)-1)/3)+1)</f>
        <v>0</v>
      </c>
      <c r="AX75" s="6"/>
    </row>
    <row r="76" spans="18:50">
      <c r="R76" s="44"/>
      <c r="S76" s="51"/>
      <c r="T76" s="51"/>
      <c r="U76" s="51"/>
      <c r="V76" s="51"/>
      <c r="AA76" s="44"/>
      <c r="AB76" s="51"/>
      <c r="AC76" s="51"/>
      <c r="AD76" s="51"/>
      <c r="AE76" s="51"/>
      <c r="AF76" s="51"/>
      <c r="AG76" s="51"/>
      <c r="AV76" s="6"/>
      <c r="AW76" s="6" cm="1">
        <f t="array" ref="AW76">INDEX($AV$1:$AV$100,INT((ROW(A76)-1)/3)+1)</f>
        <v>0</v>
      </c>
      <c r="AX76" s="6"/>
    </row>
    <row r="77" spans="18:50">
      <c r="R77" s="44"/>
      <c r="S77" s="51"/>
      <c r="T77" s="51"/>
      <c r="U77" s="51"/>
      <c r="V77" s="51"/>
      <c r="AA77" s="44"/>
      <c r="AB77" s="51"/>
      <c r="AC77" s="51"/>
      <c r="AD77" s="51"/>
      <c r="AE77" s="51"/>
      <c r="AF77" s="51"/>
      <c r="AG77" s="51"/>
      <c r="AV77" s="6"/>
      <c r="AW77" s="6" cm="1">
        <f t="array" ref="AW77">INDEX($AV$1:$AV$100,INT((ROW(A77)-1)/3)+1)</f>
        <v>0</v>
      </c>
      <c r="AX77" s="6"/>
    </row>
    <row r="78" spans="18:50">
      <c r="R78" s="44"/>
      <c r="S78" s="51"/>
      <c r="T78" s="51"/>
      <c r="U78" s="51"/>
      <c r="V78" s="51"/>
      <c r="AA78" s="44"/>
      <c r="AB78" s="51"/>
      <c r="AC78" s="51"/>
      <c r="AD78" s="51"/>
      <c r="AE78" s="51"/>
      <c r="AF78" s="51"/>
      <c r="AG78" s="51"/>
      <c r="AV78" s="6"/>
      <c r="AW78" s="6" cm="1">
        <f t="array" ref="AW78">INDEX($AV$1:$AV$100,INT((ROW(A78)-1)/3)+1)</f>
        <v>0</v>
      </c>
      <c r="AX78" s="6"/>
    </row>
    <row r="79" spans="18:50">
      <c r="AV79" s="6"/>
      <c r="AW79" s="6" cm="1">
        <f t="array" ref="AW79">INDEX($AV$1:$AV$100,INT((ROW(A79)-1)/3)+1)</f>
        <v>0</v>
      </c>
      <c r="AX79" s="6"/>
    </row>
    <row r="80" spans="18:50">
      <c r="AV80" s="6"/>
      <c r="AW80" s="6" cm="1">
        <f t="array" ref="AW80">INDEX($AV$1:$AV$100,INT((ROW(A80)-1)/3)+1)</f>
        <v>0</v>
      </c>
      <c r="AX80" s="6"/>
    </row>
    <row r="81" spans="48:50">
      <c r="AV81" s="6"/>
      <c r="AW81" s="6" cm="1">
        <f t="array" ref="AW81">INDEX($AV$1:$AV$100,INT((ROW(A81)-1)/3)+1)</f>
        <v>0</v>
      </c>
      <c r="AX81" s="6"/>
    </row>
    <row r="82" spans="48:50">
      <c r="AV82" s="6"/>
      <c r="AW82" s="6" cm="1">
        <f t="array" ref="AW82">INDEX($AV$1:$AV$100,INT((ROW(A82)-1)/3)+1)</f>
        <v>0</v>
      </c>
      <c r="AX82" s="6"/>
    </row>
    <row r="83" spans="48:50">
      <c r="AV83" s="6"/>
      <c r="AW83" s="6" cm="1">
        <f t="array" ref="AW83">INDEX($AV$1:$AV$100,INT((ROW(A83)-1)/3)+1)</f>
        <v>0</v>
      </c>
      <c r="AX83" s="6"/>
    </row>
  </sheetData>
  <autoFilter ref="AK1:AQ29" xr:uid="{22E16767-B548-4E53-B22E-D4D21F2E3654}"/>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ED38A-8D5B-41CD-8FFB-AE40ED170584}">
  <sheetPr codeName="Sheet8"/>
  <dimension ref="A1:BB79"/>
  <sheetViews>
    <sheetView topLeftCell="AF15" workbookViewId="0">
      <selection activeCell="K11" sqref="K11"/>
    </sheetView>
  </sheetViews>
  <sheetFormatPr defaultRowHeight="15"/>
  <cols>
    <col min="1" max="2" width="20.7109375" style="1" customWidth="1"/>
    <col min="3" max="3" width="20.7109375" customWidth="1"/>
    <col min="6" max="6" width="10.5703125" bestFit="1" customWidth="1"/>
    <col min="7" max="7" width="13.28515625" customWidth="1"/>
    <col min="11" max="11" width="14.85546875" customWidth="1"/>
    <col min="12" max="12" width="13" customWidth="1"/>
    <col min="17" max="17" width="13.5703125" customWidth="1"/>
    <col min="18" max="18" width="18.140625" customWidth="1"/>
    <col min="20" max="20" width="14.85546875" customWidth="1"/>
    <col min="21" max="21" width="28.85546875" customWidth="1"/>
    <col min="22" max="22" width="28.28515625" style="7" customWidth="1"/>
    <col min="26" max="26" width="18.5703125" customWidth="1"/>
    <col min="27" max="27" width="20.85546875" customWidth="1"/>
    <col min="28" max="28" width="12.28515625" customWidth="1"/>
    <col min="29" max="31" width="15.28515625" customWidth="1"/>
    <col min="32" max="32" width="16.5703125" customWidth="1"/>
    <col min="33" max="34" width="25.7109375" customWidth="1"/>
    <col min="36" max="36" width="20.5703125" customWidth="1"/>
    <col min="37" max="37" width="16" customWidth="1"/>
    <col min="38" max="38" width="15.140625" customWidth="1"/>
    <col min="39" max="39" width="17.7109375" customWidth="1"/>
    <col min="41" max="41" width="10.28515625" customWidth="1"/>
    <col min="42" max="42" width="16.28515625" customWidth="1"/>
    <col min="43" max="43" width="29.140625" customWidth="1"/>
    <col min="49" max="49" width="23" style="7" customWidth="1"/>
    <col min="50" max="50" width="20.42578125" style="7" customWidth="1"/>
    <col min="51" max="51" width="9.140625" style="7"/>
    <col min="53" max="53" width="20.85546875" customWidth="1"/>
    <col min="54" max="54" width="12.85546875" customWidth="1"/>
  </cols>
  <sheetData>
    <row r="1" spans="1:54" ht="60">
      <c r="A1" s="139" t="s">
        <v>857</v>
      </c>
      <c r="B1" s="158" t="s">
        <v>858</v>
      </c>
      <c r="C1" s="159" t="s">
        <v>859</v>
      </c>
      <c r="D1" s="160" t="s">
        <v>860</v>
      </c>
      <c r="E1" s="160" t="s">
        <v>861</v>
      </c>
      <c r="F1" s="160" t="s">
        <v>862</v>
      </c>
      <c r="G1" s="160" t="s">
        <v>863</v>
      </c>
      <c r="H1" s="160" t="s">
        <v>864</v>
      </c>
      <c r="I1" s="160" t="s">
        <v>865</v>
      </c>
      <c r="J1" s="160" t="s">
        <v>1071</v>
      </c>
      <c r="K1" s="160" t="s">
        <v>867</v>
      </c>
      <c r="L1" s="160" t="s">
        <v>868</v>
      </c>
      <c r="Q1" s="50" t="s">
        <v>946</v>
      </c>
      <c r="R1" s="49" t="s">
        <v>859</v>
      </c>
      <c r="S1" s="49" t="s">
        <v>860</v>
      </c>
      <c r="T1" s="49" t="s">
        <v>870</v>
      </c>
      <c r="U1" s="49" t="s">
        <v>867</v>
      </c>
      <c r="V1" s="49" t="s">
        <v>873</v>
      </c>
      <c r="Z1" s="50" t="s">
        <v>876</v>
      </c>
      <c r="AA1" s="49" t="s">
        <v>859</v>
      </c>
      <c r="AB1" s="49" t="s">
        <v>860</v>
      </c>
      <c r="AC1" s="49" t="s">
        <v>870</v>
      </c>
      <c r="AD1" s="49" t="s">
        <v>871</v>
      </c>
      <c r="AE1" s="49" t="s">
        <v>872</v>
      </c>
      <c r="AF1" s="49" t="s">
        <v>867</v>
      </c>
      <c r="AG1" s="49" t="s">
        <v>873</v>
      </c>
      <c r="AH1" s="49" t="s">
        <v>874</v>
      </c>
      <c r="AJ1" s="201" t="s">
        <v>922</v>
      </c>
      <c r="AK1" s="49" t="s">
        <v>859</v>
      </c>
      <c r="AL1" s="49" t="s">
        <v>860</v>
      </c>
      <c r="AM1" s="49" t="s">
        <v>870</v>
      </c>
      <c r="AN1" s="49" t="s">
        <v>871</v>
      </c>
      <c r="AO1" s="49" t="s">
        <v>872</v>
      </c>
      <c r="AP1" s="49" t="s">
        <v>867</v>
      </c>
      <c r="AQ1" s="49" t="s">
        <v>873</v>
      </c>
      <c r="AW1" s="1" t="str" cm="1">
        <f t="array" ref="AW1:AW10">_xlfn.UNIQUE(A2:A100)</f>
        <v>Acceptable Efficacy</v>
      </c>
      <c r="AX1" s="1" t="str" cm="1">
        <f t="array" ref="AX1">INDEX($AW$1:$AW$100,INT((ROW(A1)-1)/3)+1)</f>
        <v>Acceptable Efficacy</v>
      </c>
      <c r="AY1" s="1" t="str" cm="1">
        <f t="array" ref="AY1">INDEX({"OR","RRR","ME"},MOD(ROW(AI1)-1,3)+1)</f>
        <v>OR</v>
      </c>
      <c r="BA1" s="1" t="str" cm="1">
        <f t="array" ref="BA1">INDEX($AW$1:$AW$100,INT((ROW(A1)-1)/2)+1)</f>
        <v>Acceptable Efficacy</v>
      </c>
      <c r="BB1" s="6" t="str" cm="1">
        <f t="array" ref="BB1">INDEX({"OR / RRR";"ME"}, MOD(ROW(R1)-1, 2)+1)</f>
        <v>OR / RRR</v>
      </c>
    </row>
    <row r="2" spans="1:54" ht="67.5" customHeight="1">
      <c r="A2" s="221" t="s">
        <v>1072</v>
      </c>
      <c r="B2" s="221" t="s">
        <v>907</v>
      </c>
      <c r="C2" s="233" t="s">
        <v>1073</v>
      </c>
      <c r="D2" s="221" t="s">
        <v>879</v>
      </c>
      <c r="E2" s="239">
        <v>6.3</v>
      </c>
      <c r="F2" s="239">
        <v>3.07</v>
      </c>
      <c r="G2" s="239">
        <v>12.92</v>
      </c>
      <c r="H2" s="239"/>
      <c r="I2" s="239"/>
      <c r="J2" s="229">
        <v>0.05</v>
      </c>
      <c r="K2" s="229" t="s">
        <v>365</v>
      </c>
      <c r="L2" s="233" t="s">
        <v>909</v>
      </c>
      <c r="R2" s="44" t="str">
        <f t="shared" ref="R2:R31" si="0">AX1</f>
        <v>Acceptable Efficacy</v>
      </c>
      <c r="S2" s="51" t="str">
        <f t="shared" ref="S2:S31" si="1">AY1</f>
        <v>OR</v>
      </c>
      <c r="T2" s="51" t="str">
        <f t="shared" ref="T2:T31" si="2">ROUND(_xlfn.MINIFS(E:E, A:A, R2, D:D, S2), 2) &amp; "-" &amp; ROUND(_xlfn.MAXIFS(E:E, A:A, R2, D:D, S2), 2)</f>
        <v>6,3-125,39</v>
      </c>
      <c r="U2" s="51" t="str" cm="1">
        <f t="array" ref="U2">_xlfn.TEXTJOIN(", ", TRUE, _xlfn.UNIQUE(_xlfn._xlws.FILTER(K$2:K$100, (A$2:A$100 = R2) * (D$2:D$100 = S2))))</f>
        <v>Australia, France (SMR), Poland</v>
      </c>
      <c r="V2" s="51" t="str" cm="1">
        <f t="array" ref="V2">_xlfn.TEXTJOIN(", ", TRUE, _xlfn.UNIQUE(IF((A$2:A$100 = R2) * (D$2:D$100 = S2), L$2:L$100, "")))</f>
        <v>(A. Harris et al., 2016), (Kergall et al., 2021), (Malinowski et al., 2016), (Niewada et al., 2013)</v>
      </c>
      <c r="AA2" s="44" t="str">
        <f t="shared" ref="AA2:AA31" si="3">AX1</f>
        <v>Acceptable Efficacy</v>
      </c>
      <c r="AB2" s="51" t="str">
        <f t="shared" ref="AB2:AB31" si="4">AY1</f>
        <v>OR</v>
      </c>
      <c r="AC2" s="194" t="str">
        <f>IF(AD2=AE2, IF(AD2=0, "NO DATA", ROUND(AD2, 2)), ROUND(AD2, 2) &amp; "-" &amp; ROUND(AE2, 2))</f>
        <v>6,3-125,39</v>
      </c>
      <c r="AD2" s="51">
        <f>IF(_xlfn.MINIFS(E:E, A:A, AA2, D:D, AB2, J:J, "&lt;=0,050")=0, "NA", _xlfn.MINIFS(E:E, A:A, AA2, D:D, AB2, J:J, "&lt;=0,050"))</f>
        <v>6.3</v>
      </c>
      <c r="AE2" s="51">
        <f>IF(_xlfn.MAXIFS(E:E, A:A, AA2, D:D, AB2, J:J, "&lt;=0,050")=0, "NA", _xlfn.MAXIFS(E:E, A:A, AA2, D:D, AB2, J:J, "&lt;=0,050"))</f>
        <v>125.3938</v>
      </c>
      <c r="AF2" s="51" t="str" cm="1">
        <f t="array" ref="AF2">IFERROR(_xlfn.TEXTJOIN(", ", TRUE, _xlfn.UNIQUE(_xlfn._xlws.FILTER(K$2:K$100, (A$2:A$100 = AA2) * (D$2:D$100 = AB2) * ((J$2:J$100 &lt;= 0.05))))), "")</f>
        <v>Australia, France (SMR), Poland</v>
      </c>
      <c r="AG2" s="51" t="str" cm="1">
        <f t="array" ref="AG2">_xlfn.TEXTJOIN(", ", TRUE, _xlfn.UNIQUE(IF((A$2:A$100 = AA2) * (D$2:D$100 = AB2) * ((J$2:J$100 &lt;= 0.05)), L$2:L$100, "")))</f>
        <v>(A. Harris et al., 2016), (Kergall et al., 2021), (Malinowski et al., 2016), (Niewada et al., 2013)</v>
      </c>
      <c r="AH2" s="51" t="str">
        <f>IF(OR(AB2="OR", AB2="RRR"), "OR / RRR", AB2)</f>
        <v>OR / RRR</v>
      </c>
      <c r="AK2" s="44" t="str">
        <f>BA1</f>
        <v>Acceptable Efficacy</v>
      </c>
      <c r="AL2" s="46" t="str">
        <f>BB1</f>
        <v>OR / RRR</v>
      </c>
      <c r="AM2" s="194" t="str">
        <f>IF(AN2=AO2, IF(AN2=0, "NO DATA", ROUND(AN2, 2)), ROUND(AN2, 2) &amp; "-" &amp; ROUND(AO2, 2))</f>
        <v>6,3-125,39</v>
      </c>
      <c r="AN2" s="200">
        <f>_xlfn.MINIFS(AD:AD, AA:AA, AK2, AH:AH, AL2)</f>
        <v>6.3</v>
      </c>
      <c r="AO2" s="46">
        <f>_xlfn.MAXIFS(AE:AE, AA:AA, AK2, AH:AH, AL2)</f>
        <v>125.3938</v>
      </c>
      <c r="AP2" s="51" t="str" cm="1">
        <f t="array" ref="AP2">_xlfn.TEXTJOIN(", ", TRUE, _xlfn.UNIQUE(IF((AA$2:AA$100 = AK2) * (AH$2:AH$100 = AL2), AF$2:AF$100, "")))</f>
        <v>Australia, France (SMR), Poland</v>
      </c>
      <c r="AQ2" s="51" t="str" cm="1">
        <f t="array" ref="AQ2">_xlfn.TEXTJOIN(", ", TRUE, _xlfn.UNIQUE(IF((AA$2:AA$100 = AK2) * (AH$2:AH$100 = AL2), AG$2:AG$100, "")))</f>
        <v>(A. Harris et al., 2016), (Kergall et al., 2021), (Malinowski et al., 2016), (Niewada et al., 2013)</v>
      </c>
      <c r="AW2" s="1" t="str">
        <v>Acceptable Safety</v>
      </c>
      <c r="AX2" s="1" t="str" cm="1">
        <f t="array" ref="AX2">INDEX($AW$1:$AW$100,INT((ROW(A2)-1)/3)+1)</f>
        <v>Acceptable Efficacy</v>
      </c>
      <c r="AY2" s="1" t="str" cm="1">
        <f t="array" ref="AY2">INDEX({"OR","RRR","ME"},MOD(ROW(AI2)-1,3)+1)</f>
        <v>RRR</v>
      </c>
      <c r="BA2" s="1" t="str" cm="1">
        <f t="array" ref="BA2">INDEX($AW$1:$AW$100,INT((ROW(A2)-1)/2)+1)</f>
        <v>Acceptable Efficacy</v>
      </c>
      <c r="BB2" s="6" t="str" cm="1">
        <f t="array" ref="BB2">INDEX({"OR / RRR";"ME"}, MOD(ROW(R2)-1, 2)+1)</f>
        <v>ME</v>
      </c>
    </row>
    <row r="3" spans="1:54" ht="30">
      <c r="A3" s="221" t="s">
        <v>1072</v>
      </c>
      <c r="B3" s="221" t="s">
        <v>1004</v>
      </c>
      <c r="C3" s="233" t="s">
        <v>1074</v>
      </c>
      <c r="D3" s="221" t="s">
        <v>879</v>
      </c>
      <c r="E3" s="239">
        <v>51.601100000000002</v>
      </c>
      <c r="F3" s="239">
        <v>3.9748000000000001</v>
      </c>
      <c r="G3" s="239">
        <v>669.89380000000006</v>
      </c>
      <c r="H3" s="239"/>
      <c r="I3" s="239"/>
      <c r="J3" s="229">
        <v>0.05</v>
      </c>
      <c r="K3" s="229" t="s">
        <v>976</v>
      </c>
      <c r="L3" s="233" t="s">
        <v>968</v>
      </c>
      <c r="R3" s="44" t="str">
        <f t="shared" si="0"/>
        <v>Acceptable Efficacy</v>
      </c>
      <c r="S3" s="51" t="str">
        <f t="shared" si="1"/>
        <v>RRR</v>
      </c>
      <c r="T3" s="51" t="str">
        <f t="shared" si="2"/>
        <v>0-0</v>
      </c>
      <c r="U3" s="51" t="e" cm="1" vm="1">
        <f t="array" ref="U3">_xlfn.TEXTJOIN(", ", TRUE, _xlfn.UNIQUE(_xlfn._xlws.FILTER(K$2:K$100, (A$2:A$100 = R3) * (D$2:D$100 = S3))))</f>
        <v>#VALUE!</v>
      </c>
      <c r="V3" s="51" t="str" cm="1">
        <f t="array" ref="V3">_xlfn.TEXTJOIN(", ", TRUE, _xlfn.UNIQUE(IF((A$2:A$100 = R3) * (D$2:D$100 = S3), L$2:L$100, "")))</f>
        <v/>
      </c>
      <c r="AA3" s="44" t="str">
        <f t="shared" si="3"/>
        <v>Acceptable Efficacy</v>
      </c>
      <c r="AB3" s="51" t="str">
        <f t="shared" si="4"/>
        <v>RRR</v>
      </c>
      <c r="AC3" s="194" t="e">
        <f t="shared" ref="AC3:AC31" si="5">IF(AD3=AE3, IF(AD3=0, "NO DATA", ROUND(AD3, 2)), ROUND(AD3, 2) &amp; "-" &amp; ROUND(AE3, 2))</f>
        <v>#VALUE!</v>
      </c>
      <c r="AD3" s="51" t="str">
        <f t="shared" ref="AD3:AD31" si="6">IF(_xlfn.MINIFS(E:E, A:A, AA3, D:D, AB3, J:J, "&lt;=0,050")=0, "NA", _xlfn.MINIFS(E:E, A:A, AA3, D:D, AB3, J:J, "&lt;=0,050"))</f>
        <v>NA</v>
      </c>
      <c r="AE3" s="51" t="str">
        <f t="shared" ref="AE3:AE31" si="7">IF(_xlfn.MAXIFS(E:E, A:A, AA3, D:D, AB3, J:J, "&lt;=0,050")=0, "NA", _xlfn.MAXIFS(E:E, A:A, AA3, D:D, AB3, J:J, "&lt;=0,050"))</f>
        <v>NA</v>
      </c>
      <c r="AF3" s="51" t="str" cm="1">
        <f t="array" ref="AF3">IFERROR(_xlfn.TEXTJOIN(", ", TRUE, _xlfn.UNIQUE(_xlfn._xlws.FILTER(K$2:K$100, (A$2:A$100 = AA3) * (D$2:D$100 = AB3) * ((J$2:J$100 &lt;= 0.05))))), "")</f>
        <v/>
      </c>
      <c r="AG3" s="51" t="str" cm="1">
        <f t="array" ref="AG3">_xlfn.TEXTJOIN(", ", TRUE, _xlfn.UNIQUE(IF((A$2:A$100 = AA3) * (D$2:D$100 = AB3) * ((J$2:J$100 &lt;= 0.05)), L$2:L$100, "")))</f>
        <v/>
      </c>
      <c r="AH3" s="51" t="str">
        <f t="shared" ref="AH3:AH31" si="8">IF(OR(AB3="OR", AB3="RRR"), "OR / RRR", AB3)</f>
        <v>OR / RRR</v>
      </c>
      <c r="AK3" s="44" t="str">
        <f t="shared" ref="AK3:AK11" si="9">BA2</f>
        <v>Acceptable Efficacy</v>
      </c>
      <c r="AL3" s="46" t="str">
        <f t="shared" ref="AL3:AL11" si="10">BB2</f>
        <v>ME</v>
      </c>
      <c r="AM3" s="194" t="str">
        <f t="shared" ref="AM3:AM11" si="11">IF(AN3=AO3, IF(AN3=0, "NO DATA", ROUND(AN3, 2)), ROUND(AN3, 2) &amp; "-" &amp; ROUND(AO3, 2))</f>
        <v>NO DATA</v>
      </c>
      <c r="AN3" s="200">
        <f t="shared" ref="AN3:AN11" si="12">_xlfn.MINIFS(AD:AD, AA:AA, AK3, AH:AH, AL3)</f>
        <v>0</v>
      </c>
      <c r="AO3" s="46">
        <f t="shared" ref="AO3:AO11" si="13">_xlfn.MAXIFS(AE:AE, AA:AA, AK3, AH:AH, AL3)</f>
        <v>0</v>
      </c>
      <c r="AP3" s="51" t="str" cm="1">
        <f t="array" ref="AP3">_xlfn.TEXTJOIN(", ", TRUE, _xlfn.UNIQUE(IF((AA$2:AA$100 = AK3) * (AH$2:AH$100 = AL3), AF$2:AF$100, "")))</f>
        <v/>
      </c>
      <c r="AQ3" s="51" t="str" cm="1">
        <f t="array" ref="AQ3">_xlfn.TEXTJOIN(", ", TRUE, _xlfn.UNIQUE(IF((AA$2:AA$100 = AK3) * (AH$2:AH$100 = AL3), AG$2:AG$100, "")))</f>
        <v/>
      </c>
      <c r="AW3" s="1" t="str">
        <v>QALY benefit</v>
      </c>
      <c r="AX3" s="1" t="str" cm="1">
        <f t="array" ref="AX3">INDEX($AW$1:$AW$100,INT((ROW(A3)-1)/3)+1)</f>
        <v>Acceptable Efficacy</v>
      </c>
      <c r="AY3" s="1" t="str" cm="1">
        <f t="array" ref="AY3">INDEX({"OR","RRR","ME"},MOD(ROW(AI3)-1,3)+1)</f>
        <v>ME</v>
      </c>
      <c r="BA3" s="1" t="str" cm="1">
        <f t="array" ref="BA3">INDEX($AW$1:$AW$100,INT((ROW(A3)-1)/2)+1)</f>
        <v>Acceptable Safety</v>
      </c>
      <c r="BB3" s="6" t="str" cm="1">
        <f t="array" ref="BB3">INDEX({"OR / RRR";"ME"}, MOD(ROW(R3)-1, 2)+1)</f>
        <v>OR / RRR</v>
      </c>
    </row>
    <row r="4" spans="1:54" ht="30">
      <c r="A4" s="240" t="s">
        <v>1072</v>
      </c>
      <c r="B4" s="241" t="s">
        <v>1075</v>
      </c>
      <c r="C4" s="45" t="s">
        <v>1076</v>
      </c>
      <c r="D4" s="230" t="s">
        <v>879</v>
      </c>
      <c r="E4" s="231">
        <v>125.3938</v>
      </c>
      <c r="F4" s="231">
        <v>24.2545</v>
      </c>
      <c r="G4" s="231">
        <v>2307.0645</v>
      </c>
      <c r="H4" s="231"/>
      <c r="I4" s="231"/>
      <c r="J4" s="45">
        <v>1E-4</v>
      </c>
      <c r="K4" s="45" t="s">
        <v>216</v>
      </c>
      <c r="L4" s="45" t="s">
        <v>1077</v>
      </c>
      <c r="R4" s="44" t="str">
        <f t="shared" si="0"/>
        <v>Acceptable Efficacy</v>
      </c>
      <c r="S4" s="51" t="str">
        <f t="shared" si="1"/>
        <v>ME</v>
      </c>
      <c r="T4" s="51" t="str">
        <f t="shared" si="2"/>
        <v>0-0</v>
      </c>
      <c r="U4" s="51" t="e" cm="1" vm="1">
        <f t="array" ref="U4">_xlfn.TEXTJOIN(", ", TRUE, _xlfn.UNIQUE(_xlfn._xlws.FILTER(K$2:K$100, (A$2:A$100 = R4) * (D$2:D$100 = S4))))</f>
        <v>#VALUE!</v>
      </c>
      <c r="V4" s="51" t="str" cm="1">
        <f t="array" ref="V4">_xlfn.TEXTJOIN(", ", TRUE, _xlfn.UNIQUE(IF((A$2:A$100 = R4) * (D$2:D$100 = S4), L$2:L$100, "")))</f>
        <v/>
      </c>
      <c r="AA4" s="44" t="str">
        <f t="shared" si="3"/>
        <v>Acceptable Efficacy</v>
      </c>
      <c r="AB4" s="51" t="str">
        <f t="shared" si="4"/>
        <v>ME</v>
      </c>
      <c r="AC4" s="194" t="e">
        <f t="shared" si="5"/>
        <v>#VALUE!</v>
      </c>
      <c r="AD4" s="51" t="str">
        <f t="shared" si="6"/>
        <v>NA</v>
      </c>
      <c r="AE4" s="51" t="str">
        <f t="shared" si="7"/>
        <v>NA</v>
      </c>
      <c r="AF4" s="51" t="str" cm="1">
        <f t="array" ref="AF4">IFERROR(_xlfn.TEXTJOIN(", ", TRUE, _xlfn.UNIQUE(_xlfn._xlws.FILTER(K$2:K$100, (A$2:A$100 = AA4) * (D$2:D$100 = AB4) * ((J$2:J$100 &lt;= 0.05))))), "")</f>
        <v/>
      </c>
      <c r="AG4" s="51" t="str" cm="1">
        <f t="array" ref="AG4">_xlfn.TEXTJOIN(", ", TRUE, _xlfn.UNIQUE(IF((A$2:A$100 = AA4) * (D$2:D$100 = AB4) * ((J$2:J$100 &lt;= 0.05)), L$2:L$100, "")))</f>
        <v/>
      </c>
      <c r="AH4" s="51" t="str">
        <f t="shared" si="8"/>
        <v>ME</v>
      </c>
      <c r="AK4" s="44" t="str">
        <f t="shared" si="9"/>
        <v>Acceptable Safety</v>
      </c>
      <c r="AL4" s="46" t="str">
        <f t="shared" si="10"/>
        <v>OR / RRR</v>
      </c>
      <c r="AM4" s="194" t="str">
        <f t="shared" si="11"/>
        <v>5,86-45,98</v>
      </c>
      <c r="AN4" s="200">
        <f t="shared" si="12"/>
        <v>5.8608745597017986</v>
      </c>
      <c r="AO4" s="46">
        <f t="shared" si="13"/>
        <v>45.98</v>
      </c>
      <c r="AP4" s="51" t="str" cm="1">
        <f t="array" ref="AP4">_xlfn.TEXTJOIN(", ", TRUE, _xlfn.UNIQUE(IF((AA$2:AA$100 = AK4) * (AH$2:AH$100 = AL4), AF$2:AF$100, "")))</f>
        <v>Poland</v>
      </c>
      <c r="AQ4" s="51" t="str" cm="1">
        <f t="array" ref="AQ4">_xlfn.TEXTJOIN(", ", TRUE, _xlfn.UNIQUE(IF((AA$2:AA$100 = AK4) * (AH$2:AH$100 = AL4), AG$2:AG$100, "")))</f>
        <v>(Malinowski et al., 2016), (Niewada et al., 2013)</v>
      </c>
      <c r="AW4" s="1">
        <v>0</v>
      </c>
      <c r="AX4" s="1" t="str" cm="1">
        <f t="array" ref="AX4">INDEX($AW$1:$AW$100,INT((ROW(A4)-1)/3)+1)</f>
        <v>Acceptable Safety</v>
      </c>
      <c r="AY4" s="1" t="str" cm="1">
        <f t="array" ref="AY4">INDEX({"OR","RRR","ME"},MOD(ROW(AI4)-1,3)+1)</f>
        <v>OR</v>
      </c>
      <c r="BA4" s="1" t="str" cm="1">
        <f t="array" ref="BA4">INDEX($AW$1:$AW$100,INT((ROW(A4)-1)/2)+1)</f>
        <v>Acceptable Safety</v>
      </c>
      <c r="BB4" s="6" t="str" cm="1">
        <f t="array" ref="BB4">INDEX({"OR / RRR";"ME"}, MOD(ROW(R4)-1, 2)+1)</f>
        <v>ME</v>
      </c>
    </row>
    <row r="5" spans="1:54" ht="45">
      <c r="A5" s="240" t="s">
        <v>1072</v>
      </c>
      <c r="B5" s="241" t="s">
        <v>885</v>
      </c>
      <c r="C5" s="45" t="s">
        <v>1078</v>
      </c>
      <c r="D5" s="230" t="s">
        <v>879</v>
      </c>
      <c r="E5" s="231">
        <v>12.29</v>
      </c>
      <c r="F5" s="231"/>
      <c r="G5" s="231"/>
      <c r="H5" s="231"/>
      <c r="I5" s="231"/>
      <c r="J5" s="45">
        <v>5.0000000000000001E-3</v>
      </c>
      <c r="K5" s="45" t="s">
        <v>216</v>
      </c>
      <c r="L5" s="45" t="s">
        <v>1079</v>
      </c>
      <c r="R5" s="44" t="str">
        <f t="shared" si="0"/>
        <v>Acceptable Safety</v>
      </c>
      <c r="S5" s="51" t="str">
        <f t="shared" si="1"/>
        <v>OR</v>
      </c>
      <c r="T5" s="51" t="str">
        <f t="shared" si="2"/>
        <v>3,89-45,98</v>
      </c>
      <c r="U5" s="51" t="str" cm="1">
        <f t="array" ref="U5">_xlfn.TEXTJOIN(", ", TRUE, _xlfn.UNIQUE(_xlfn._xlws.FILTER(K$2:K$100, (A$2:A$100 = R5) * (D$2:D$100 = S5))))</f>
        <v>Poland</v>
      </c>
      <c r="V5" s="51" t="str" cm="1">
        <f t="array" ref="V5">_xlfn.TEXTJOIN(", ", TRUE, _xlfn.UNIQUE(IF((A$2:A$100 = R5) * (D$2:D$100 = S5), L$2:L$100, "")))</f>
        <v>(Malinowski et al., 2016), (Kawalec et al., 2018), (Niewada et al., 2013)</v>
      </c>
      <c r="AA5" s="44" t="str">
        <f t="shared" si="3"/>
        <v>Acceptable Safety</v>
      </c>
      <c r="AB5" s="51" t="str">
        <f t="shared" si="4"/>
        <v>OR</v>
      </c>
      <c r="AC5" s="194" t="str">
        <f t="shared" si="5"/>
        <v>5,86-45,98</v>
      </c>
      <c r="AD5" s="51">
        <f t="shared" si="6"/>
        <v>5.8608745597017986</v>
      </c>
      <c r="AE5" s="51">
        <f t="shared" si="7"/>
        <v>45.98</v>
      </c>
      <c r="AF5" s="51" t="str" cm="1">
        <f t="array" ref="AF5">IFERROR(_xlfn.TEXTJOIN(", ", TRUE, _xlfn.UNIQUE(_xlfn._xlws.FILTER(K$2:K$100, (A$2:A$100 = AA5) * (D$2:D$100 = AB5) * ((J$2:J$100 &lt;= 0.05))))), "")</f>
        <v>Poland</v>
      </c>
      <c r="AG5" s="51" t="str" cm="1">
        <f t="array" ref="AG5">_xlfn.TEXTJOIN(", ", TRUE, _xlfn.UNIQUE(IF((A$2:A$100 = AA5) * (D$2:D$100 = AB5) * ((J$2:J$100 &lt;= 0.05)), L$2:L$100, "")))</f>
        <v>(Malinowski et al., 2016), (Niewada et al., 2013)</v>
      </c>
      <c r="AH5" s="51" t="str">
        <f t="shared" si="8"/>
        <v>OR / RRR</v>
      </c>
      <c r="AK5" s="44" t="str">
        <f t="shared" si="9"/>
        <v>Acceptable Safety</v>
      </c>
      <c r="AL5" s="46" t="str">
        <f t="shared" si="10"/>
        <v>ME</v>
      </c>
      <c r="AM5" s="194" t="str">
        <f t="shared" si="11"/>
        <v>NO DATA</v>
      </c>
      <c r="AN5" s="200">
        <f t="shared" si="12"/>
        <v>0</v>
      </c>
      <c r="AO5" s="46">
        <f t="shared" si="13"/>
        <v>0</v>
      </c>
      <c r="AP5" s="51" t="str" cm="1">
        <f t="array" ref="AP5">_xlfn.TEXTJOIN(", ", TRUE, _xlfn.UNIQUE(IF((AA$2:AA$100 = AK5) * (AH$2:AH$100 = AL5), AF$2:AF$100, "")))</f>
        <v/>
      </c>
      <c r="AQ5" s="51" t="str" cm="1">
        <f t="array" ref="AQ5">_xlfn.TEXTJOIN(", ", TRUE, _xlfn.UNIQUE(IF((AA$2:AA$100 = AK5) * (AH$2:AH$100 = AL5), AG$2:AG$100, "")))</f>
        <v/>
      </c>
      <c r="AW5" s="1" t="str">
        <v>Other positive Bodies/Committees Recommendations</v>
      </c>
      <c r="AX5" s="1" t="str" cm="1">
        <f t="array" ref="AX5">INDEX($AW$1:$AW$100,INT((ROW(A5)-1)/3)+1)</f>
        <v>Acceptable Safety</v>
      </c>
      <c r="AY5" s="1" t="str" cm="1">
        <f t="array" ref="AY5">INDEX({"OR","RRR","ME"},MOD(ROW(AI5)-1,3)+1)</f>
        <v>RRR</v>
      </c>
      <c r="BA5" s="1" t="str" cm="1">
        <f t="array" ref="BA5">INDEX($AW$1:$AW$100,INT((ROW(A5)-1)/2)+1)</f>
        <v>QALY benefit</v>
      </c>
      <c r="BB5" s="6" t="str" cm="1">
        <f t="array" ref="BB5">INDEX({"OR / RRR";"ME"}, MOD(ROW(R5)-1, 2)+1)</f>
        <v>OR / RRR</v>
      </c>
    </row>
    <row r="6" spans="1:54" ht="30">
      <c r="A6" s="242" t="s">
        <v>1080</v>
      </c>
      <c r="B6" s="243" t="s">
        <v>1075</v>
      </c>
      <c r="C6" s="52" t="s">
        <v>1081</v>
      </c>
      <c r="D6" s="244" t="s">
        <v>879</v>
      </c>
      <c r="E6" s="245">
        <v>45.98</v>
      </c>
      <c r="F6" s="245">
        <v>7.76</v>
      </c>
      <c r="G6" s="245">
        <v>890.45</v>
      </c>
      <c r="H6" s="245"/>
      <c r="I6" s="245"/>
      <c r="J6" s="52">
        <v>1E-4</v>
      </c>
      <c r="K6" s="52" t="s">
        <v>216</v>
      </c>
      <c r="L6" s="52" t="s">
        <v>1077</v>
      </c>
      <c r="R6" s="44" t="str">
        <f t="shared" si="0"/>
        <v>Acceptable Safety</v>
      </c>
      <c r="S6" s="51" t="str">
        <f t="shared" si="1"/>
        <v>RRR</v>
      </c>
      <c r="T6" s="51" t="str">
        <f t="shared" si="2"/>
        <v>0-0</v>
      </c>
      <c r="U6" s="51" t="e" cm="1" vm="1">
        <f t="array" ref="U6">_xlfn.TEXTJOIN(", ", TRUE, _xlfn.UNIQUE(_xlfn._xlws.FILTER(K$2:K$100, (A$2:A$100 = R6) * (D$2:D$100 = S6))))</f>
        <v>#VALUE!</v>
      </c>
      <c r="V6" s="51" t="str" cm="1">
        <f t="array" ref="V6">_xlfn.TEXTJOIN(", ", TRUE, _xlfn.UNIQUE(IF((A$2:A$100 = R6) * (D$2:D$100 = S6), L$2:L$100, "")))</f>
        <v/>
      </c>
      <c r="AA6" s="44" t="str">
        <f t="shared" si="3"/>
        <v>Acceptable Safety</v>
      </c>
      <c r="AB6" s="51" t="str">
        <f t="shared" si="4"/>
        <v>RRR</v>
      </c>
      <c r="AC6" s="194" t="e">
        <f t="shared" si="5"/>
        <v>#VALUE!</v>
      </c>
      <c r="AD6" s="51" t="str">
        <f t="shared" si="6"/>
        <v>NA</v>
      </c>
      <c r="AE6" s="51" t="str">
        <f t="shared" si="7"/>
        <v>NA</v>
      </c>
      <c r="AF6" s="51" t="str" cm="1">
        <f t="array" ref="AF6">IFERROR(_xlfn.TEXTJOIN(", ", TRUE, _xlfn.UNIQUE(_xlfn._xlws.FILTER(K$2:K$100, (A$2:A$100 = AA6) * (D$2:D$100 = AB6) * ((J$2:J$100 &lt;= 0.05))))), "")</f>
        <v/>
      </c>
      <c r="AG6" s="51" t="str" cm="1">
        <f t="array" ref="AG6">_xlfn.TEXTJOIN(", ", TRUE, _xlfn.UNIQUE(IF((A$2:A$100 = AA6) * (D$2:D$100 = AB6) * ((J$2:J$100 &lt;= 0.05)), L$2:L$100, "")))</f>
        <v/>
      </c>
      <c r="AH6" s="51" t="str">
        <f t="shared" si="8"/>
        <v>OR / RRR</v>
      </c>
      <c r="AK6" s="44" t="str">
        <f t="shared" si="9"/>
        <v>QALY benefit</v>
      </c>
      <c r="AL6" s="46" t="str">
        <f t="shared" si="10"/>
        <v>OR / RRR</v>
      </c>
      <c r="AM6" s="194">
        <f t="shared" si="11"/>
        <v>1.63</v>
      </c>
      <c r="AN6" s="200">
        <f t="shared" si="12"/>
        <v>1.6256999999999999</v>
      </c>
      <c r="AO6" s="46">
        <f t="shared" si="13"/>
        <v>1.6256999999999999</v>
      </c>
      <c r="AP6" s="51" t="str" cm="1">
        <f t="array" ref="AP6">_xlfn.TEXTJOIN(", ", TRUE, _xlfn.UNIQUE(IF((AA$2:AA$100 = AK6) * (AH$2:AH$100 = AL6), AF$2:AF$100, "")))</f>
        <v>France (ASMR)</v>
      </c>
      <c r="AQ6" s="51" t="str" cm="1">
        <f t="array" ref="AQ6">_xlfn.TEXTJOIN(", ", TRUE, _xlfn.UNIQUE(IF((AA$2:AA$100 = AK6) * (AH$2:AH$100 = AL6), AG$2:AG$100, "")))</f>
        <v>(Kergall et al., 2021)</v>
      </c>
      <c r="AW6" s="1" t="str">
        <v>Strong Efficacy</v>
      </c>
      <c r="AX6" s="1" t="str" cm="1">
        <f t="array" ref="AX6">INDEX($AW$1:$AW$100,INT((ROW(A6)-1)/3)+1)</f>
        <v>Acceptable Safety</v>
      </c>
      <c r="AY6" s="1" t="str" cm="1">
        <f t="array" ref="AY6">INDEX({"OR","RRR","ME"},MOD(ROW(AI6)-1,3)+1)</f>
        <v>ME</v>
      </c>
      <c r="BA6" s="1" t="str" cm="1">
        <f t="array" ref="BA6">INDEX($AW$1:$AW$100,INT((ROW(A6)-1)/2)+1)</f>
        <v>QALY benefit</v>
      </c>
      <c r="BB6" s="6" t="str" cm="1">
        <f t="array" ref="BB6">INDEX({"OR / RRR";"ME"}, MOD(ROW(R6)-1, 2)+1)</f>
        <v>ME</v>
      </c>
    </row>
    <row r="7" spans="1:54" ht="30">
      <c r="A7" s="242" t="s">
        <v>1080</v>
      </c>
      <c r="B7" s="243" t="s">
        <v>885</v>
      </c>
      <c r="C7" s="52" t="s">
        <v>1081</v>
      </c>
      <c r="D7" s="244" t="s">
        <v>879</v>
      </c>
      <c r="E7" s="245">
        <v>3.89</v>
      </c>
      <c r="F7" s="245">
        <v>0.99</v>
      </c>
      <c r="G7" s="245">
        <v>15.26</v>
      </c>
      <c r="H7" s="245"/>
      <c r="I7" s="245"/>
      <c r="J7" s="52" t="s">
        <v>1082</v>
      </c>
      <c r="K7" s="52" t="s">
        <v>216</v>
      </c>
      <c r="L7" s="52" t="s">
        <v>991</v>
      </c>
      <c r="R7" s="44" t="str">
        <f t="shared" si="0"/>
        <v>Acceptable Safety</v>
      </c>
      <c r="S7" s="51" t="str">
        <f t="shared" si="1"/>
        <v>ME</v>
      </c>
      <c r="T7" s="51" t="str">
        <f t="shared" si="2"/>
        <v>0-0</v>
      </c>
      <c r="U7" s="51" t="e" cm="1" vm="1">
        <f t="array" ref="U7">_xlfn.TEXTJOIN(", ", TRUE, _xlfn.UNIQUE(_xlfn._xlws.FILTER(K$2:K$100, (A$2:A$100 = R7) * (D$2:D$100 = S7))))</f>
        <v>#VALUE!</v>
      </c>
      <c r="V7" s="51" t="str" cm="1">
        <f t="array" ref="V7">_xlfn.TEXTJOIN(", ", TRUE, _xlfn.UNIQUE(IF((A$2:A$100 = R7) * (D$2:D$100 = S7), L$2:L$100, "")))</f>
        <v/>
      </c>
      <c r="AA7" s="44" t="str">
        <f t="shared" si="3"/>
        <v>Acceptable Safety</v>
      </c>
      <c r="AB7" s="51" t="str">
        <f t="shared" si="4"/>
        <v>ME</v>
      </c>
      <c r="AC7" s="194" t="e">
        <f t="shared" si="5"/>
        <v>#VALUE!</v>
      </c>
      <c r="AD7" s="51" t="str">
        <f t="shared" si="6"/>
        <v>NA</v>
      </c>
      <c r="AE7" s="51" t="str">
        <f t="shared" si="7"/>
        <v>NA</v>
      </c>
      <c r="AF7" s="51" t="str" cm="1">
        <f t="array" ref="AF7">IFERROR(_xlfn.TEXTJOIN(", ", TRUE, _xlfn.UNIQUE(_xlfn._xlws.FILTER(K$2:K$100, (A$2:A$100 = AA7) * (D$2:D$100 = AB7) * ((J$2:J$100 &lt;= 0.05))))), "")</f>
        <v/>
      </c>
      <c r="AG7" s="51" t="str" cm="1">
        <f t="array" ref="AG7">_xlfn.TEXTJOIN(", ", TRUE, _xlfn.UNIQUE(IF((A$2:A$100 = AA7) * (D$2:D$100 = AB7) * ((J$2:J$100 &lt;= 0.05)), L$2:L$100, "")))</f>
        <v/>
      </c>
      <c r="AH7" s="51" t="str">
        <f t="shared" si="8"/>
        <v>ME</v>
      </c>
      <c r="AK7" s="44" t="str">
        <f t="shared" si="9"/>
        <v>QALY benefit</v>
      </c>
      <c r="AL7" s="46" t="str">
        <f t="shared" si="10"/>
        <v>ME</v>
      </c>
      <c r="AM7" s="194" t="str">
        <f t="shared" si="11"/>
        <v>NO DATA</v>
      </c>
      <c r="AN7" s="200">
        <f t="shared" si="12"/>
        <v>0</v>
      </c>
      <c r="AO7" s="46">
        <f t="shared" si="13"/>
        <v>0</v>
      </c>
      <c r="AP7" s="51" t="str" cm="1">
        <f t="array" ref="AP7">_xlfn.TEXTJOIN(", ", TRUE, _xlfn.UNIQUE(IF((AA$2:AA$100 = AK7) * (AH$2:AH$100 = AL7), AF$2:AF$100, "")))</f>
        <v/>
      </c>
      <c r="AQ7" s="51" t="str" cm="1">
        <f t="array" ref="AQ7">_xlfn.TEXTJOIN(", ", TRUE, _xlfn.UNIQUE(IF((AA$2:AA$100 = AK7) * (AH$2:AH$100 = AL7), AG$2:AG$100, "")))</f>
        <v/>
      </c>
      <c r="AW7" s="1" t="str">
        <v>Superior Efficacy</v>
      </c>
      <c r="AX7" s="1" t="str" cm="1">
        <f t="array" ref="AX7">INDEX($AW$1:$AW$100,INT((ROW(A7)-1)/3)+1)</f>
        <v>QALY benefit</v>
      </c>
      <c r="AY7" s="1" t="str" cm="1">
        <f t="array" ref="AY7">INDEX({"OR","RRR","ME"},MOD(ROW(AI7)-1,3)+1)</f>
        <v>OR</v>
      </c>
      <c r="BA7" s="1" cm="1">
        <f t="array" ref="BA7">INDEX($AW$1:$AW$100,INT((ROW(A7)-1)/2)+1)</f>
        <v>0</v>
      </c>
      <c r="BB7" s="6" t="str" cm="1">
        <f t="array" ref="BB7">INDEX({"OR / RRR";"ME"}, MOD(ROW(R7)-1, 2)+1)</f>
        <v>OR / RRR</v>
      </c>
    </row>
    <row r="8" spans="1:54" ht="60">
      <c r="A8" s="242" t="s">
        <v>1080</v>
      </c>
      <c r="B8" s="50" t="s">
        <v>885</v>
      </c>
      <c r="C8" s="52" t="s">
        <v>1083</v>
      </c>
      <c r="D8" s="244" t="s">
        <v>879</v>
      </c>
      <c r="E8" s="245">
        <f>1/0.170623</f>
        <v>5.8608745597017986</v>
      </c>
      <c r="F8" s="245"/>
      <c r="G8" s="245"/>
      <c r="H8" s="245"/>
      <c r="I8" s="245"/>
      <c r="J8" s="52">
        <v>5.0000000000000001E-3</v>
      </c>
      <c r="K8" s="52" t="s">
        <v>216</v>
      </c>
      <c r="L8" s="52" t="s">
        <v>1079</v>
      </c>
      <c r="R8" s="44" t="str">
        <f t="shared" si="0"/>
        <v>QALY benefit</v>
      </c>
      <c r="S8" s="51" t="str">
        <f t="shared" si="1"/>
        <v>OR</v>
      </c>
      <c r="T8" s="51" t="str">
        <f t="shared" si="2"/>
        <v>1,44-1,63</v>
      </c>
      <c r="U8" s="51" t="str" cm="1">
        <f t="array" ref="U8">_xlfn.TEXTJOIN(", ", TRUE, _xlfn.UNIQUE(_xlfn._xlws.FILTER(K$2:K$100, (A$2:A$100 = R8) * (D$2:D$100 = S8))))</f>
        <v>France (ASMR), CANADA-(INESSS), CANADA-(CADTH) Scotland, UK, France</v>
      </c>
      <c r="V8" s="51" t="str" cm="1">
        <f t="array" ref="V8">_xlfn.TEXTJOIN(", ", TRUE, _xlfn.UNIQUE(IF((A$2:A$100 = R8) * (D$2:D$100 = S8), L$2:L$100, "")))</f>
        <v>(Kergall et al., 2021), (Mills, 2023)</v>
      </c>
      <c r="AA8" s="44" t="str">
        <f t="shared" si="3"/>
        <v>QALY benefit</v>
      </c>
      <c r="AB8" s="51" t="str">
        <f t="shared" si="4"/>
        <v>OR</v>
      </c>
      <c r="AC8" s="194">
        <f t="shared" si="5"/>
        <v>1.63</v>
      </c>
      <c r="AD8" s="51">
        <f t="shared" si="6"/>
        <v>1.6256999999999999</v>
      </c>
      <c r="AE8" s="51">
        <f t="shared" si="7"/>
        <v>1.6256999999999999</v>
      </c>
      <c r="AF8" s="51" t="str" cm="1">
        <f t="array" ref="AF8">IFERROR(_xlfn.TEXTJOIN(", ", TRUE, _xlfn.UNIQUE(_xlfn._xlws.FILTER(K$2:K$100, (A$2:A$100 = AA8) * (D$2:D$100 = AB8) * ((J$2:J$100 &lt;= 0.05))))), "")</f>
        <v>France (ASMR)</v>
      </c>
      <c r="AG8" s="51" t="str" cm="1">
        <f t="array" ref="AG8">_xlfn.TEXTJOIN(", ", TRUE, _xlfn.UNIQUE(IF((A$2:A$100 = AA8) * (D$2:D$100 = AB8) * ((J$2:J$100 &lt;= 0.05)), L$2:L$100, "")))</f>
        <v>(Kergall et al., 2021)</v>
      </c>
      <c r="AH8" s="51" t="str">
        <f t="shared" si="8"/>
        <v>OR / RRR</v>
      </c>
      <c r="AK8" s="44">
        <f t="shared" si="9"/>
        <v>0</v>
      </c>
      <c r="AL8" s="46" t="str">
        <f t="shared" si="10"/>
        <v>OR / RRR</v>
      </c>
      <c r="AM8" s="194" t="str">
        <f t="shared" si="11"/>
        <v>NO DATA</v>
      </c>
      <c r="AN8" s="200">
        <f t="shared" si="12"/>
        <v>0</v>
      </c>
      <c r="AO8" s="46">
        <f t="shared" si="13"/>
        <v>0</v>
      </c>
      <c r="AP8" s="51" t="str" cm="1">
        <f t="array" ref="AP8">_xlfn.TEXTJOIN(", ", TRUE, _xlfn.UNIQUE(IF((AA$2:AA$100 = AK8) * (AH$2:AH$100 = AL8), AF$2:AF$100, "")))</f>
        <v/>
      </c>
      <c r="AQ8" s="51" t="str" cm="1">
        <f t="array" ref="AQ8">_xlfn.TEXTJOIN(", ", TRUE, _xlfn.UNIQUE(IF((AA$2:AA$100 = AK8) * (AH$2:AH$100 = AL8), AG$2:AG$100, "")))</f>
        <v/>
      </c>
      <c r="AW8" s="1" t="str">
        <v>Superior Safety</v>
      </c>
      <c r="AX8" s="1" t="str" cm="1">
        <f t="array" ref="AX8">INDEX($AW$1:$AW$100,INT((ROW(A8)-1)/3)+1)</f>
        <v>QALY benefit</v>
      </c>
      <c r="AY8" s="1" t="str" cm="1">
        <f t="array" ref="AY8">INDEX({"OR","RRR","ME"},MOD(ROW(AI8)-1,3)+1)</f>
        <v>RRR</v>
      </c>
      <c r="BA8" s="1" cm="1">
        <f t="array" ref="BA8">INDEX($AW$1:$AW$100,INT((ROW(A8)-1)/2)+1)</f>
        <v>0</v>
      </c>
      <c r="BB8" s="6" t="str" cm="1">
        <f t="array" ref="BB8">INDEX({"OR / RRR";"ME"}, MOD(ROW(R8)-1, 2)+1)</f>
        <v>ME</v>
      </c>
    </row>
    <row r="9" spans="1:54" ht="45">
      <c r="A9" s="110" t="s">
        <v>1084</v>
      </c>
      <c r="B9" s="106" t="s">
        <v>966</v>
      </c>
      <c r="C9" s="96" t="s">
        <v>1085</v>
      </c>
      <c r="D9" s="93" t="s">
        <v>879</v>
      </c>
      <c r="E9" s="95">
        <v>1.6256999999999999</v>
      </c>
      <c r="F9" s="95">
        <v>1.2697000000000001</v>
      </c>
      <c r="G9" s="95">
        <v>2.0815000000000001</v>
      </c>
      <c r="H9" s="95"/>
      <c r="I9" s="95"/>
      <c r="J9" s="96">
        <v>0.05</v>
      </c>
      <c r="K9" s="96" t="s">
        <v>967</v>
      </c>
      <c r="L9" s="92" t="s">
        <v>968</v>
      </c>
      <c r="R9" s="44" t="str">
        <f t="shared" si="0"/>
        <v>QALY benefit</v>
      </c>
      <c r="S9" s="51" t="str">
        <f t="shared" si="1"/>
        <v>RRR</v>
      </c>
      <c r="T9" s="51" t="str">
        <f t="shared" si="2"/>
        <v>0-0</v>
      </c>
      <c r="U9" s="51" t="e" cm="1" vm="1">
        <f t="array" ref="U9">_xlfn.TEXTJOIN(", ", TRUE, _xlfn.UNIQUE(_xlfn._xlws.FILTER(K$2:K$100, (A$2:A$100 = R9) * (D$2:D$100 = S9))))</f>
        <v>#VALUE!</v>
      </c>
      <c r="V9" s="51" t="str" cm="1">
        <f t="array" ref="V9">_xlfn.TEXTJOIN(", ", TRUE, _xlfn.UNIQUE(IF((A$2:A$100 = R9) * (D$2:D$100 = S9), L$2:L$100, "")))</f>
        <v/>
      </c>
      <c r="AA9" s="44" t="str">
        <f t="shared" si="3"/>
        <v>QALY benefit</v>
      </c>
      <c r="AB9" s="51" t="str">
        <f t="shared" si="4"/>
        <v>RRR</v>
      </c>
      <c r="AC9" s="194" t="e">
        <f t="shared" si="5"/>
        <v>#VALUE!</v>
      </c>
      <c r="AD9" s="51" t="str">
        <f t="shared" si="6"/>
        <v>NA</v>
      </c>
      <c r="AE9" s="51" t="str">
        <f t="shared" si="7"/>
        <v>NA</v>
      </c>
      <c r="AF9" s="51" t="str" cm="1">
        <f t="array" ref="AF9">IFERROR(_xlfn.TEXTJOIN(", ", TRUE, _xlfn.UNIQUE(_xlfn._xlws.FILTER(K$2:K$100, (A$2:A$100 = AA9) * (D$2:D$100 = AB9) * ((J$2:J$100 &lt;= 0.05))))), "")</f>
        <v/>
      </c>
      <c r="AG9" s="51" t="str" cm="1">
        <f t="array" ref="AG9">_xlfn.TEXTJOIN(", ", TRUE, _xlfn.UNIQUE(IF((A$2:A$100 = AA9) * (D$2:D$100 = AB9) * ((J$2:J$100 &lt;= 0.05)), L$2:L$100, "")))</f>
        <v/>
      </c>
      <c r="AH9" s="51" t="str">
        <f t="shared" si="8"/>
        <v>OR / RRR</v>
      </c>
      <c r="AK9" s="44">
        <f t="shared" si="9"/>
        <v>0</v>
      </c>
      <c r="AL9" s="46" t="str">
        <f t="shared" si="10"/>
        <v>ME</v>
      </c>
      <c r="AM9" s="194" t="str">
        <f t="shared" si="11"/>
        <v>NO DATA</v>
      </c>
      <c r="AN9" s="200">
        <f t="shared" si="12"/>
        <v>0</v>
      </c>
      <c r="AO9" s="46">
        <f t="shared" si="13"/>
        <v>0</v>
      </c>
      <c r="AP9" s="51" t="str" cm="1">
        <f t="array" ref="AP9">_xlfn.TEXTJOIN(", ", TRUE, _xlfn.UNIQUE(IF((AA$2:AA$100 = AK9) * (AH$2:AH$100 = AL9), AF$2:AF$100, "")))</f>
        <v/>
      </c>
      <c r="AQ9" s="51" t="str" cm="1">
        <f t="array" ref="AQ9">_xlfn.TEXTJOIN(", ", TRUE, _xlfn.UNIQUE(IF((AA$2:AA$100 = AK9) * (AH$2:AH$100 = AL9), AG$2:AG$100, "")))</f>
        <v/>
      </c>
      <c r="AW9" s="1" t="str">
        <v>Trial phase</v>
      </c>
      <c r="AX9" s="1" t="str" cm="1">
        <f t="array" ref="AX9">INDEX($AW$1:$AW$100,INT((ROW(A9)-1)/3)+1)</f>
        <v>QALY benefit</v>
      </c>
      <c r="AY9" s="1" t="str" cm="1">
        <f t="array" ref="AY9">INDEX({"OR","RRR","ME"},MOD(ROW(AI9)-1,3)+1)</f>
        <v>ME</v>
      </c>
      <c r="BA9" s="1" t="str" cm="1">
        <f t="array" ref="BA9">INDEX($AW$1:$AW$100,INT((ROW(A9)-1)/2)+1)</f>
        <v>Other positive Bodies/Committees Recommendations</v>
      </c>
      <c r="BB9" s="6" t="str" cm="1">
        <f t="array" ref="BB9">INDEX({"OR / RRR";"ME"}, MOD(ROW(R9)-1, 2)+1)</f>
        <v>OR / RRR</v>
      </c>
    </row>
    <row r="10" spans="1:54" ht="90">
      <c r="A10" s="93" t="s">
        <v>1084</v>
      </c>
      <c r="B10" s="106" t="s">
        <v>885</v>
      </c>
      <c r="C10" s="146" t="s">
        <v>1086</v>
      </c>
      <c r="D10" s="93" t="s">
        <v>879</v>
      </c>
      <c r="E10" s="95">
        <v>1.4370000000000001</v>
      </c>
      <c r="F10" s="95"/>
      <c r="G10" s="95"/>
      <c r="H10" s="95"/>
      <c r="I10" s="95">
        <v>0.81399999999999995</v>
      </c>
      <c r="J10" s="146" t="s">
        <v>886</v>
      </c>
      <c r="K10" s="96" t="s">
        <v>887</v>
      </c>
      <c r="L10" s="156" t="s">
        <v>888</v>
      </c>
      <c r="R10" s="44" t="str">
        <f t="shared" si="0"/>
        <v>QALY benefit</v>
      </c>
      <c r="S10" s="51" t="str">
        <f t="shared" si="1"/>
        <v>ME</v>
      </c>
      <c r="T10" s="51" t="str">
        <f t="shared" si="2"/>
        <v>0-0</v>
      </c>
      <c r="U10" s="51" t="e" cm="1" vm="1">
        <f t="array" ref="U10">_xlfn.TEXTJOIN(", ", TRUE, _xlfn.UNIQUE(_xlfn._xlws.FILTER(K$2:K$100, (A$2:A$100 = R10) * (D$2:D$100 = S10))))</f>
        <v>#VALUE!</v>
      </c>
      <c r="V10" s="51" t="str" cm="1">
        <f t="array" ref="V10">_xlfn.TEXTJOIN(", ", TRUE, _xlfn.UNIQUE(IF((A$2:A$100 = R10) * (D$2:D$100 = S10), L$2:L$100, "")))</f>
        <v/>
      </c>
      <c r="AA10" s="44" t="str">
        <f t="shared" si="3"/>
        <v>QALY benefit</v>
      </c>
      <c r="AB10" s="51" t="str">
        <f t="shared" si="4"/>
        <v>ME</v>
      </c>
      <c r="AC10" s="194" t="e">
        <f t="shared" si="5"/>
        <v>#VALUE!</v>
      </c>
      <c r="AD10" s="51" t="str">
        <f t="shared" si="6"/>
        <v>NA</v>
      </c>
      <c r="AE10" s="51" t="str">
        <f t="shared" si="7"/>
        <v>NA</v>
      </c>
      <c r="AF10" s="51" t="str" cm="1">
        <f t="array" ref="AF10">IFERROR(_xlfn.TEXTJOIN(", ", TRUE, _xlfn.UNIQUE(_xlfn._xlws.FILTER(K$2:K$100, (A$2:A$100 = AA10) * (D$2:D$100 = AB10) * ((J$2:J$100 &lt;= 0.05))))), "")</f>
        <v/>
      </c>
      <c r="AG10" s="51" t="str" cm="1">
        <f t="array" ref="AG10">_xlfn.TEXTJOIN(", ", TRUE, _xlfn.UNIQUE(IF((A$2:A$100 = AA10) * (D$2:D$100 = AB10) * ((J$2:J$100 &lt;= 0.05)), L$2:L$100, "")))</f>
        <v/>
      </c>
      <c r="AH10" s="51" t="str">
        <f t="shared" si="8"/>
        <v>ME</v>
      </c>
      <c r="AK10" s="44" t="str">
        <f t="shared" si="9"/>
        <v>Other positive Bodies/Committees Recommendations</v>
      </c>
      <c r="AL10" s="46" t="str">
        <f t="shared" si="10"/>
        <v>OR / RRR</v>
      </c>
      <c r="AM10" s="194">
        <f t="shared" si="11"/>
        <v>11.94</v>
      </c>
      <c r="AN10" s="200">
        <f t="shared" si="12"/>
        <v>11.9368</v>
      </c>
      <c r="AO10" s="46">
        <f t="shared" si="13"/>
        <v>11.9368</v>
      </c>
      <c r="AP10" s="51" t="str" cm="1">
        <f t="array" ref="AP10">_xlfn.TEXTJOIN(", ", TRUE, _xlfn.UNIQUE(IF((AA$2:AA$100 = AK10) * (AH$2:AH$100 = AL10), AF$2:AF$100, "")))</f>
        <v>Poland</v>
      </c>
      <c r="AQ10" s="51" t="str" cm="1">
        <f t="array" ref="AQ10">_xlfn.TEXTJOIN(", ", TRUE, _xlfn.UNIQUE(IF((AA$2:AA$100 = AK10) * (AH$2:AH$100 = AL10), AG$2:AG$100, "")))</f>
        <v>(Malinowski et al., 2016)</v>
      </c>
      <c r="AW10" s="1" t="str">
        <v>Similar Efficacy</v>
      </c>
      <c r="AX10" s="1" cm="1">
        <f t="array" ref="AX10">INDEX($AW$1:$AW$100,INT((ROW(A10)-1)/3)+1)</f>
        <v>0</v>
      </c>
      <c r="AY10" s="1" t="str" cm="1">
        <f t="array" ref="AY10">INDEX({"OR","RRR","ME"},MOD(ROW(AI10)-1,3)+1)</f>
        <v>OR</v>
      </c>
      <c r="BA10" s="1" t="str" cm="1">
        <f t="array" ref="BA10">INDEX($AW$1:$AW$100,INT((ROW(A10)-1)/2)+1)</f>
        <v>Other positive Bodies/Committees Recommendations</v>
      </c>
      <c r="BB10" s="6" t="str" cm="1">
        <f t="array" ref="BB10">INDEX({"OR / RRR";"ME"}, MOD(ROW(R10)-1, 2)+1)</f>
        <v>ME</v>
      </c>
    </row>
    <row r="11" spans="1:54" ht="75">
      <c r="A11" s="110"/>
      <c r="B11" s="155"/>
      <c r="C11" s="96"/>
      <c r="D11" s="93"/>
      <c r="E11" s="95"/>
      <c r="F11" s="95"/>
      <c r="G11" s="95"/>
      <c r="H11" s="95"/>
      <c r="I11" s="95"/>
      <c r="J11" s="96"/>
      <c r="K11" s="96"/>
      <c r="L11" s="92"/>
      <c r="R11" s="44">
        <f t="shared" si="0"/>
        <v>0</v>
      </c>
      <c r="S11" s="51" t="str">
        <f t="shared" si="1"/>
        <v>OR</v>
      </c>
      <c r="T11" s="51" t="str">
        <f t="shared" si="2"/>
        <v>0-0</v>
      </c>
      <c r="U11" s="51" t="e" cm="1" vm="1">
        <f t="array" ref="U11">_xlfn.TEXTJOIN(", ", TRUE, _xlfn.UNIQUE(_xlfn._xlws.FILTER(K$2:K$100, (A$2:A$100 = R11) * (D$2:D$100 = S11))))</f>
        <v>#VALUE!</v>
      </c>
      <c r="V11" s="51" t="str" cm="1">
        <f t="array" ref="V11">_xlfn.TEXTJOIN(", ", TRUE, _xlfn.UNIQUE(IF((A$2:A$100 = R11) * (D$2:D$100 = S11), L$2:L$100, "")))</f>
        <v/>
      </c>
      <c r="AA11" s="44">
        <f t="shared" si="3"/>
        <v>0</v>
      </c>
      <c r="AB11" s="51" t="str">
        <f t="shared" si="4"/>
        <v>OR</v>
      </c>
      <c r="AC11" s="194" t="e">
        <f t="shared" si="5"/>
        <v>#VALUE!</v>
      </c>
      <c r="AD11" s="51" t="str">
        <f t="shared" si="6"/>
        <v>NA</v>
      </c>
      <c r="AE11" s="51" t="str">
        <f t="shared" si="7"/>
        <v>NA</v>
      </c>
      <c r="AF11" s="51" t="str" cm="1">
        <f t="array" ref="AF11">IFERROR(_xlfn.TEXTJOIN(", ", TRUE, _xlfn.UNIQUE(_xlfn._xlws.FILTER(K$2:K$100, (A$2:A$100 = AA11) * (D$2:D$100 = AB11) * ((J$2:J$100 &lt;= 0.05))))), "")</f>
        <v/>
      </c>
      <c r="AG11" s="51" t="str" cm="1">
        <f t="array" ref="AG11">_xlfn.TEXTJOIN(", ", TRUE, _xlfn.UNIQUE(IF((A$2:A$100 = AA11) * (D$2:D$100 = AB11) * ((J$2:J$100 &lt;= 0.05)), L$2:L$100, "")))</f>
        <v/>
      </c>
      <c r="AH11" s="51" t="str">
        <f t="shared" si="8"/>
        <v>OR / RRR</v>
      </c>
      <c r="AK11" s="44" t="str">
        <f t="shared" si="9"/>
        <v>Other positive Bodies/Committees Recommendations</v>
      </c>
      <c r="AL11" s="46" t="str">
        <f t="shared" si="10"/>
        <v>ME</v>
      </c>
      <c r="AM11" s="194" t="str">
        <f t="shared" si="11"/>
        <v>NO DATA</v>
      </c>
      <c r="AN11" s="200">
        <f t="shared" si="12"/>
        <v>0</v>
      </c>
      <c r="AO11" s="46">
        <f t="shared" si="13"/>
        <v>0</v>
      </c>
      <c r="AP11" s="51" t="str" cm="1">
        <f t="array" ref="AP11">_xlfn.TEXTJOIN(", ", TRUE, _xlfn.UNIQUE(IF((AA$2:AA$100 = AK11) * (AH$2:AH$100 = AL11), AF$2:AF$100, "")))</f>
        <v/>
      </c>
      <c r="AQ11" s="51" t="str" cm="1">
        <f t="array" ref="AQ11">_xlfn.TEXTJOIN(", ", TRUE, _xlfn.UNIQUE(IF((AA$2:AA$100 = AK11) * (AH$2:AH$100 = AL11), AG$2:AG$100, "")))</f>
        <v/>
      </c>
      <c r="AW11" s="1"/>
      <c r="AX11" s="1" cm="1">
        <f t="array" ref="AX11">INDEX($AW$1:$AW$100,INT((ROW(A11)-1)/3)+1)</f>
        <v>0</v>
      </c>
      <c r="AY11" s="1" t="str" cm="1">
        <f t="array" ref="AY11">INDEX({"OR","RRR","ME"},MOD(ROW(AI11)-1,3)+1)</f>
        <v>RRR</v>
      </c>
      <c r="BA11" s="1" t="str" cm="1">
        <f t="array" ref="BA11">INDEX($AW$1:$AW$100,INT((ROW(A11)-1)/2)+1)</f>
        <v>Strong Efficacy</v>
      </c>
      <c r="BB11" s="6" t="str" cm="1">
        <f t="array" ref="BB11">INDEX({"OR / RRR";"ME"}, MOD(ROW(R11)-1, 2)+1)</f>
        <v>OR / RRR</v>
      </c>
    </row>
    <row r="12" spans="1:54" ht="60">
      <c r="A12" s="118" t="s">
        <v>1087</v>
      </c>
      <c r="B12" s="161" t="s">
        <v>885</v>
      </c>
      <c r="C12" s="96" t="s">
        <v>1088</v>
      </c>
      <c r="D12" s="93" t="s">
        <v>879</v>
      </c>
      <c r="E12" s="95">
        <v>5.32</v>
      </c>
      <c r="F12" s="95">
        <v>1.08</v>
      </c>
      <c r="G12" s="95">
        <v>26.23</v>
      </c>
      <c r="H12" s="95"/>
      <c r="I12" s="95"/>
      <c r="J12" s="96" t="s">
        <v>1089</v>
      </c>
      <c r="K12" s="96" t="s">
        <v>216</v>
      </c>
      <c r="L12" s="92" t="s">
        <v>991</v>
      </c>
      <c r="R12" s="44">
        <f t="shared" si="0"/>
        <v>0</v>
      </c>
      <c r="S12" s="51" t="str">
        <f t="shared" si="1"/>
        <v>RRR</v>
      </c>
      <c r="T12" s="51" t="str">
        <f t="shared" si="2"/>
        <v>0-0</v>
      </c>
      <c r="U12" s="51" t="e" cm="1" vm="1">
        <f t="array" ref="U12">_xlfn.TEXTJOIN(", ", TRUE, _xlfn.UNIQUE(_xlfn._xlws.FILTER(K$2:K$100, (A$2:A$100 = R12) * (D$2:D$100 = S12))))</f>
        <v>#VALUE!</v>
      </c>
      <c r="V12" s="51" t="str" cm="1">
        <f t="array" ref="V12">_xlfn.TEXTJOIN(", ", TRUE, _xlfn.UNIQUE(IF((A$2:A$100 = R12) * (D$2:D$100 = S12), L$2:L$100, "")))</f>
        <v/>
      </c>
      <c r="AA12" s="44">
        <f t="shared" si="3"/>
        <v>0</v>
      </c>
      <c r="AB12" s="51" t="str">
        <f t="shared" si="4"/>
        <v>RRR</v>
      </c>
      <c r="AC12" s="194" t="e">
        <f t="shared" si="5"/>
        <v>#VALUE!</v>
      </c>
      <c r="AD12" s="51" t="str">
        <f t="shared" si="6"/>
        <v>NA</v>
      </c>
      <c r="AE12" s="51" t="str">
        <f t="shared" si="7"/>
        <v>NA</v>
      </c>
      <c r="AF12" s="51" t="str" cm="1">
        <f t="array" ref="AF12">IFERROR(_xlfn.TEXTJOIN(", ", TRUE, _xlfn.UNIQUE(_xlfn._xlws.FILTER(K$2:K$100, (A$2:A$100 = AA12) * (D$2:D$100 = AB12) * ((J$2:J$100 &lt;= 0.05))))), "")</f>
        <v/>
      </c>
      <c r="AG12" s="51" t="str" cm="1">
        <f t="array" ref="AG12">_xlfn.TEXTJOIN(", ", TRUE, _xlfn.UNIQUE(IF((A$2:A$100 = AA12) * (D$2:D$100 = AB12) * ((J$2:J$100 &lt;= 0.05)), L$2:L$100, "")))</f>
        <v/>
      </c>
      <c r="AH12" s="51" t="str">
        <f t="shared" si="8"/>
        <v>OR / RRR</v>
      </c>
      <c r="AK12" s="44" t="str">
        <f t="shared" ref="AK12:AK20" si="14">BA11</f>
        <v>Strong Efficacy</v>
      </c>
      <c r="AL12" s="46" t="str">
        <f t="shared" ref="AL12:AL20" si="15">BB11</f>
        <v>OR / RRR</v>
      </c>
      <c r="AM12" s="194">
        <f t="shared" ref="AM12:AM20" si="16">IF(AN12=AO12, IF(AN12=0, "NO DATA", ROUND(AN12, 2)), ROUND(AN12, 2) &amp; "-" &amp; ROUND(AO12, 2))</f>
        <v>8330.6</v>
      </c>
      <c r="AN12" s="200">
        <f t="shared" ref="AN12:AN20" si="17">_xlfn.MINIFS(AD:AD, AA:AA, AK12, AH:AH, AL12)</f>
        <v>8330.5949999999993</v>
      </c>
      <c r="AO12" s="46">
        <f t="shared" ref="AO12:AO20" si="18">_xlfn.MAXIFS(AE:AE, AA:AA, AK12, AH:AH, AL12)</f>
        <v>8330.5949999999993</v>
      </c>
      <c r="AP12" s="51" t="str" cm="1">
        <f t="array" ref="AP12">_xlfn.TEXTJOIN(", ", TRUE, _xlfn.UNIQUE(IF((AA$2:AA$100 = AK12) * (AH$2:AH$100 = AL12), AF$2:AF$100, "")))</f>
        <v>France (SMR)</v>
      </c>
      <c r="AQ12" s="51" t="str" cm="1">
        <f t="array" ref="AQ12">_xlfn.TEXTJOIN(", ", TRUE, _xlfn.UNIQUE(IF((AA$2:AA$100 = AK12) * (AH$2:AH$100 = AL12), AG$2:AG$100, "")))</f>
        <v>(Kergall et al., 2021)</v>
      </c>
      <c r="AW12" s="1"/>
      <c r="AX12" s="1" cm="1">
        <f t="array" ref="AX12">INDEX($AW$1:$AW$100,INT((ROW(A12)-1)/3)+1)</f>
        <v>0</v>
      </c>
      <c r="AY12" s="1" t="str" cm="1">
        <f t="array" ref="AY12">INDEX({"OR","RRR","ME"},MOD(ROW(AI12)-1,3)+1)</f>
        <v>ME</v>
      </c>
      <c r="BA12" s="1" t="str" cm="1">
        <f t="array" ref="BA12">INDEX($AW$1:$AW$100,INT((ROW(A12)-1)/2)+1)</f>
        <v>Strong Efficacy</v>
      </c>
      <c r="BB12" s="6" t="str" cm="1">
        <f t="array" ref="BB12">INDEX({"OR / RRR";"ME"}, MOD(ROW(R12)-1, 2)+1)</f>
        <v>ME</v>
      </c>
    </row>
    <row r="13" spans="1:54" ht="60">
      <c r="A13" s="118" t="s">
        <v>1087</v>
      </c>
      <c r="B13" s="161" t="s">
        <v>1075</v>
      </c>
      <c r="C13" s="96" t="s">
        <v>1088</v>
      </c>
      <c r="D13" s="93" t="s">
        <v>879</v>
      </c>
      <c r="E13" s="95">
        <v>11.9368</v>
      </c>
      <c r="F13" s="95">
        <v>4.8226000000000004</v>
      </c>
      <c r="G13" s="95">
        <v>32.11</v>
      </c>
      <c r="H13" s="95"/>
      <c r="I13" s="95"/>
      <c r="J13" s="96">
        <v>1E-4</v>
      </c>
      <c r="K13" s="96" t="s">
        <v>216</v>
      </c>
      <c r="L13" s="92" t="s">
        <v>1077</v>
      </c>
      <c r="R13" s="44">
        <f t="shared" si="0"/>
        <v>0</v>
      </c>
      <c r="S13" s="51" t="str">
        <f t="shared" si="1"/>
        <v>ME</v>
      </c>
      <c r="T13" s="51" t="str">
        <f t="shared" si="2"/>
        <v>0-0</v>
      </c>
      <c r="U13" s="51" t="e" cm="1" vm="1">
        <f t="array" ref="U13">_xlfn.TEXTJOIN(", ", TRUE, _xlfn.UNIQUE(_xlfn._xlws.FILTER(K$2:K$100, (A$2:A$100 = R13) * (D$2:D$100 = S13))))</f>
        <v>#VALUE!</v>
      </c>
      <c r="V13" s="51" t="str" cm="1">
        <f t="array" ref="V13">_xlfn.TEXTJOIN(", ", TRUE, _xlfn.UNIQUE(IF((A$2:A$100 = R13) * (D$2:D$100 = S13), L$2:L$100, "")))</f>
        <v/>
      </c>
      <c r="AA13" s="44">
        <f t="shared" si="3"/>
        <v>0</v>
      </c>
      <c r="AB13" s="51" t="str">
        <f t="shared" si="4"/>
        <v>ME</v>
      </c>
      <c r="AC13" s="194" t="e">
        <f t="shared" si="5"/>
        <v>#VALUE!</v>
      </c>
      <c r="AD13" s="51" t="str">
        <f t="shared" si="6"/>
        <v>NA</v>
      </c>
      <c r="AE13" s="51" t="str">
        <f t="shared" si="7"/>
        <v>NA</v>
      </c>
      <c r="AF13" s="51" t="str" cm="1">
        <f t="array" ref="AF13">IFERROR(_xlfn.TEXTJOIN(", ", TRUE, _xlfn.UNIQUE(_xlfn._xlws.FILTER(K$2:K$100, (A$2:A$100 = AA13) * (D$2:D$100 = AB13) * ((J$2:J$100 &lt;= 0.05))))), "")</f>
        <v/>
      </c>
      <c r="AG13" s="51" t="str" cm="1">
        <f t="array" ref="AG13">_xlfn.TEXTJOIN(", ", TRUE, _xlfn.UNIQUE(IF((A$2:A$100 = AA13) * (D$2:D$100 = AB13) * ((J$2:J$100 &lt;= 0.05)), L$2:L$100, "")))</f>
        <v/>
      </c>
      <c r="AH13" s="51" t="str">
        <f t="shared" si="8"/>
        <v>ME</v>
      </c>
      <c r="AK13" s="44" t="str">
        <f t="shared" si="14"/>
        <v>Strong Efficacy</v>
      </c>
      <c r="AL13" s="46" t="str">
        <f t="shared" si="15"/>
        <v>ME</v>
      </c>
      <c r="AM13" s="194" t="str">
        <f t="shared" si="16"/>
        <v>NO DATA</v>
      </c>
      <c r="AN13" s="200">
        <f t="shared" si="17"/>
        <v>0</v>
      </c>
      <c r="AO13" s="46">
        <f t="shared" si="18"/>
        <v>0</v>
      </c>
      <c r="AP13" s="51" t="str" cm="1">
        <f t="array" ref="AP13">_xlfn.TEXTJOIN(", ", TRUE, _xlfn.UNIQUE(IF((AA$2:AA$100 = AK13) * (AH$2:AH$100 = AL13), AF$2:AF$100, "")))</f>
        <v/>
      </c>
      <c r="AQ13" s="51" t="str" cm="1">
        <f t="array" ref="AQ13">_xlfn.TEXTJOIN(", ", TRUE, _xlfn.UNIQUE(IF((AA$2:AA$100 = AK13) * (AH$2:AH$100 = AL13), AG$2:AG$100, "")))</f>
        <v/>
      </c>
      <c r="AW13" s="1"/>
      <c r="AX13" s="1" t="str" cm="1">
        <f t="array" ref="AX13">INDEX($AW$1:$AW$100,INT((ROW(A13)-1)/3)+1)</f>
        <v>Other positive Bodies/Committees Recommendations</v>
      </c>
      <c r="AY13" s="1" t="str" cm="1">
        <f t="array" ref="AY13">INDEX({"OR","RRR","ME"},MOD(ROW(AI13)-1,3)+1)</f>
        <v>OR</v>
      </c>
      <c r="BA13" s="1" t="str" cm="1">
        <f t="array" ref="BA13">INDEX($AW$1:$AW$100,INT((ROW(A13)-1)/2)+1)</f>
        <v>Superior Efficacy</v>
      </c>
      <c r="BB13" s="6" t="str" cm="1">
        <f t="array" ref="BB13">INDEX({"OR / RRR";"ME"}, MOD(ROW(R13)-1, 2)+1)</f>
        <v>OR / RRR</v>
      </c>
    </row>
    <row r="14" spans="1:54" ht="60">
      <c r="A14" s="140"/>
      <c r="B14" s="73"/>
      <c r="C14" s="55"/>
      <c r="D14" s="46"/>
      <c r="E14" s="48"/>
      <c r="F14" s="48"/>
      <c r="G14" s="48"/>
      <c r="H14" s="48"/>
      <c r="I14" s="48"/>
      <c r="J14" s="44"/>
      <c r="K14" s="44"/>
      <c r="L14" s="44"/>
      <c r="R14" s="44" t="str">
        <f t="shared" si="0"/>
        <v>Other positive Bodies/Committees Recommendations</v>
      </c>
      <c r="S14" s="51" t="str">
        <f t="shared" si="1"/>
        <v>OR</v>
      </c>
      <c r="T14" s="51" t="str">
        <f t="shared" si="2"/>
        <v>4,1-11,94</v>
      </c>
      <c r="U14" s="51" t="str" cm="1">
        <f t="array" ref="U14">_xlfn.TEXTJOIN(", ", TRUE, _xlfn.UNIQUE(_xlfn._xlws.FILTER(K$2:K$100, (A$2:A$100 = R14) * (D$2:D$100 = S14))))</f>
        <v>Poland, South Korea</v>
      </c>
      <c r="V14" s="51" t="str" cm="1">
        <f t="array" ref="V14">_xlfn.TEXTJOIN(", ", TRUE, _xlfn.UNIQUE(IF((A$2:A$100 = R14) * (D$2:D$100 = S14), L$2:L$100, "")))</f>
        <v>(Kawalec et al., 2018), (Malinowski et al., 2016), (Park et al., 2012)</v>
      </c>
      <c r="AA14" s="44" t="str">
        <f t="shared" si="3"/>
        <v>Other positive Bodies/Committees Recommendations</v>
      </c>
      <c r="AB14" s="51" t="str">
        <f t="shared" si="4"/>
        <v>OR</v>
      </c>
      <c r="AC14" s="194">
        <f t="shared" si="5"/>
        <v>11.94</v>
      </c>
      <c r="AD14" s="51">
        <f t="shared" si="6"/>
        <v>11.9368</v>
      </c>
      <c r="AE14" s="51">
        <f t="shared" si="7"/>
        <v>11.9368</v>
      </c>
      <c r="AF14" s="51" t="str" cm="1">
        <f t="array" ref="AF14">IFERROR(_xlfn.TEXTJOIN(", ", TRUE, _xlfn.UNIQUE(_xlfn._xlws.FILTER(K$2:K$100, (A$2:A$100 = AA14) * (D$2:D$100 = AB14) * ((J$2:J$100 &lt;= 0.05))))), "")</f>
        <v>Poland</v>
      </c>
      <c r="AG14" s="51" t="str" cm="1">
        <f t="array" ref="AG14">_xlfn.TEXTJOIN(", ", TRUE, _xlfn.UNIQUE(IF((A$2:A$100 = AA14) * (D$2:D$100 = AB14) * ((J$2:J$100 &lt;= 0.05)), L$2:L$100, "")))</f>
        <v>(Malinowski et al., 2016)</v>
      </c>
      <c r="AH14" s="51" t="str">
        <f t="shared" si="8"/>
        <v>OR / RRR</v>
      </c>
      <c r="AK14" s="44" t="str">
        <f t="shared" si="14"/>
        <v>Superior Efficacy</v>
      </c>
      <c r="AL14" s="46" t="str">
        <f t="shared" si="15"/>
        <v>OR / RRR</v>
      </c>
      <c r="AM14" s="194" t="str">
        <f t="shared" si="16"/>
        <v>6,36-524,79</v>
      </c>
      <c r="AN14" s="200">
        <f t="shared" si="17"/>
        <v>6.3598195226018319</v>
      </c>
      <c r="AO14" s="46">
        <f t="shared" si="18"/>
        <v>524.79095376980729</v>
      </c>
      <c r="AP14" s="51" t="str" cm="1">
        <f t="array" ref="AP14">_xlfn.TEXTJOIN(", ", TRUE, _xlfn.UNIQUE(IF((AA$2:AA$100 = AK14) * (AH$2:AH$100 = AL14), AF$2:AF$100, "")))</f>
        <v>Germany, UK, Netherlands</v>
      </c>
      <c r="AQ14" s="51" t="str" cm="1">
        <f t="array" ref="AQ14">_xlfn.TEXTJOIN(", ", TRUE, _xlfn.UNIQUE(IF((AA$2:AA$100 = AK14) * (AH$2:AH$100 = AL14), AG$2:AG$100, "")))</f>
        <v>(Schaefer et al., 2023), (Cerri, Knapp, &amp; Fernandez, 2014b), (Cerri, Knapp, &amp; Fernandez, 2014a)</v>
      </c>
      <c r="AR14">
        <v>3</v>
      </c>
      <c r="AW14" s="1"/>
      <c r="AX14" s="1" t="str" cm="1">
        <f t="array" ref="AX14">INDEX($AW$1:$AW$100,INT((ROW(A14)-1)/3)+1)</f>
        <v>Other positive Bodies/Committees Recommendations</v>
      </c>
      <c r="AY14" s="1" t="str" cm="1">
        <f t="array" ref="AY14">INDEX({"OR","RRR","ME"},MOD(ROW(AI14)-1,3)+1)</f>
        <v>RRR</v>
      </c>
      <c r="BA14" s="1" t="str" cm="1">
        <f t="array" ref="BA14">INDEX($AW$1:$AW$100,INT((ROW(A14)-1)/2)+1)</f>
        <v>Superior Efficacy</v>
      </c>
      <c r="BB14" s="6" t="str" cm="1">
        <f t="array" ref="BB14">INDEX({"OR / RRR";"ME"}, MOD(ROW(R14)-1, 2)+1)</f>
        <v>ME</v>
      </c>
    </row>
    <row r="15" spans="1:54" ht="60">
      <c r="A15" s="53"/>
      <c r="B15" s="73"/>
      <c r="C15" s="44"/>
      <c r="D15" s="46"/>
      <c r="E15" s="48"/>
      <c r="F15" s="48"/>
      <c r="G15" s="48"/>
      <c r="H15" s="48"/>
      <c r="I15" s="48"/>
      <c r="J15" s="44"/>
      <c r="K15" s="44"/>
      <c r="L15" s="44"/>
      <c r="R15" s="44" t="str">
        <f t="shared" si="0"/>
        <v>Other positive Bodies/Committees Recommendations</v>
      </c>
      <c r="S15" s="51" t="str">
        <f t="shared" si="1"/>
        <v>RRR</v>
      </c>
      <c r="T15" s="51" t="str">
        <f t="shared" si="2"/>
        <v>0-0</v>
      </c>
      <c r="U15" s="51" t="e" cm="1" vm="1">
        <f t="array" ref="U15">_xlfn.TEXTJOIN(", ", TRUE, _xlfn.UNIQUE(_xlfn._xlws.FILTER(K$2:K$100, (A$2:A$100 = R15) * (D$2:D$100 = S15))))</f>
        <v>#VALUE!</v>
      </c>
      <c r="V15" s="51" t="str" cm="1">
        <f t="array" ref="V15">_xlfn.TEXTJOIN(", ", TRUE, _xlfn.UNIQUE(IF((A$2:A$100 = R15) * (D$2:D$100 = S15), L$2:L$100, "")))</f>
        <v/>
      </c>
      <c r="AA15" s="44" t="str">
        <f t="shared" si="3"/>
        <v>Other positive Bodies/Committees Recommendations</v>
      </c>
      <c r="AB15" s="51" t="str">
        <f t="shared" si="4"/>
        <v>RRR</v>
      </c>
      <c r="AC15" s="194" t="e">
        <f t="shared" si="5"/>
        <v>#VALUE!</v>
      </c>
      <c r="AD15" s="51" t="str">
        <f t="shared" si="6"/>
        <v>NA</v>
      </c>
      <c r="AE15" s="51" t="str">
        <f t="shared" si="7"/>
        <v>NA</v>
      </c>
      <c r="AF15" s="51" t="str" cm="1">
        <f t="array" ref="AF15">IFERROR(_xlfn.TEXTJOIN(", ", TRUE, _xlfn.UNIQUE(_xlfn._xlws.FILTER(K$2:K$100, (A$2:A$100 = AA15) * (D$2:D$100 = AB15) * ((J$2:J$100 &lt;= 0.05))))), "")</f>
        <v/>
      </c>
      <c r="AG15" s="51" t="str" cm="1">
        <f t="array" ref="AG15">_xlfn.TEXTJOIN(", ", TRUE, _xlfn.UNIQUE(IF((A$2:A$100 = AA15) * (D$2:D$100 = AB15) * ((J$2:J$100 &lt;= 0.05)), L$2:L$100, "")))</f>
        <v/>
      </c>
      <c r="AH15" s="51" t="str">
        <f t="shared" si="8"/>
        <v>OR / RRR</v>
      </c>
      <c r="AK15" s="44" t="str">
        <f t="shared" si="14"/>
        <v>Superior Efficacy</v>
      </c>
      <c r="AL15" s="46" t="str">
        <f t="shared" si="15"/>
        <v>ME</v>
      </c>
      <c r="AM15" s="194">
        <f t="shared" si="16"/>
        <v>0.28000000000000003</v>
      </c>
      <c r="AN15" s="200">
        <f t="shared" si="17"/>
        <v>0.28000000000000003</v>
      </c>
      <c r="AO15" s="46">
        <f t="shared" si="18"/>
        <v>0.28000000000000003</v>
      </c>
      <c r="AP15" s="51" t="str" cm="1">
        <f t="array" ref="AP15">_xlfn.TEXTJOIN(", ", TRUE, _xlfn.UNIQUE(IF((AA$2:AA$100 = AK15) * (AH$2:AH$100 = AL15), AF$2:AF$100, "")))</f>
        <v>Australia</v>
      </c>
      <c r="AQ15" s="51" t="str" cm="1">
        <f t="array" ref="AQ15">_xlfn.TEXTJOIN(", ", TRUE, _xlfn.UNIQUE(IF((AA$2:AA$100 = AK15) * (AH$2:AH$100 = AL15), AG$2:AG$100, "")))</f>
        <v>(A. H. Harris et al., 2008)</v>
      </c>
      <c r="AR15">
        <v>1</v>
      </c>
      <c r="AW15" s="1"/>
      <c r="AX15" s="1" t="str" cm="1">
        <f t="array" ref="AX15">INDEX($AW$1:$AW$100,INT((ROW(A15)-1)/3)+1)</f>
        <v>Other positive Bodies/Committees Recommendations</v>
      </c>
      <c r="AY15" s="1" t="str" cm="1">
        <f t="array" ref="AY15">INDEX({"OR","RRR","ME"},MOD(ROW(AI15)-1,3)+1)</f>
        <v>ME</v>
      </c>
      <c r="BA15" s="1" t="str" cm="1">
        <f t="array" ref="BA15">INDEX($AW$1:$AW$100,INT((ROW(A15)-1)/2)+1)</f>
        <v>Superior Safety</v>
      </c>
      <c r="BB15" s="6" t="str" cm="1">
        <f t="array" ref="BB15">INDEX({"OR / RRR";"ME"}, MOD(ROW(R15)-1, 2)+1)</f>
        <v>OR / RRR</v>
      </c>
    </row>
    <row r="16" spans="1:54" ht="60">
      <c r="A16" s="144" t="s">
        <v>1090</v>
      </c>
      <c r="B16" s="155" t="s">
        <v>1004</v>
      </c>
      <c r="C16" s="92" t="s">
        <v>1091</v>
      </c>
      <c r="D16" s="93" t="s">
        <v>879</v>
      </c>
      <c r="E16" s="95">
        <v>8330.5949999999993</v>
      </c>
      <c r="F16" s="95">
        <v>130.9538</v>
      </c>
      <c r="G16" s="95">
        <v>529948.80000000005</v>
      </c>
      <c r="H16" s="95"/>
      <c r="I16" s="115"/>
      <c r="J16" s="113">
        <v>0.01</v>
      </c>
      <c r="K16" s="113" t="s">
        <v>976</v>
      </c>
      <c r="L16" s="127" t="s">
        <v>968</v>
      </c>
      <c r="R16" s="44" t="str">
        <f t="shared" si="0"/>
        <v>Other positive Bodies/Committees Recommendations</v>
      </c>
      <c r="S16" s="51" t="str">
        <f t="shared" si="1"/>
        <v>ME</v>
      </c>
      <c r="T16" s="51" t="str">
        <f t="shared" si="2"/>
        <v>0-0</v>
      </c>
      <c r="U16" s="51" t="e" cm="1" vm="1">
        <f t="array" ref="U16">_xlfn.TEXTJOIN(", ", TRUE, _xlfn.UNIQUE(_xlfn._xlws.FILTER(K$2:K$100, (A$2:A$100 = R16) * (D$2:D$100 = S16))))</f>
        <v>#VALUE!</v>
      </c>
      <c r="V16" s="51" t="str" cm="1">
        <f t="array" ref="V16">_xlfn.TEXTJOIN(", ", TRUE, _xlfn.UNIQUE(IF((A$2:A$100 = R16) * (D$2:D$100 = S16), L$2:L$100, "")))</f>
        <v/>
      </c>
      <c r="AA16" s="44" t="str">
        <f t="shared" si="3"/>
        <v>Other positive Bodies/Committees Recommendations</v>
      </c>
      <c r="AB16" s="51" t="str">
        <f t="shared" si="4"/>
        <v>ME</v>
      </c>
      <c r="AC16" s="194" t="e">
        <f t="shared" si="5"/>
        <v>#VALUE!</v>
      </c>
      <c r="AD16" s="51" t="str">
        <f t="shared" si="6"/>
        <v>NA</v>
      </c>
      <c r="AE16" s="51" t="str">
        <f t="shared" si="7"/>
        <v>NA</v>
      </c>
      <c r="AF16" s="51" t="str" cm="1">
        <f t="array" ref="AF16">IFERROR(_xlfn.TEXTJOIN(", ", TRUE, _xlfn.UNIQUE(_xlfn._xlws.FILTER(K$2:K$100, (A$2:A$100 = AA16) * (D$2:D$100 = AB16) * ((J$2:J$100 &lt;= 0.05))))), "")</f>
        <v/>
      </c>
      <c r="AG16" s="51" t="str" cm="1">
        <f t="array" ref="AG16">_xlfn.TEXTJOIN(", ", TRUE, _xlfn.UNIQUE(IF((A$2:A$100 = AA16) * (D$2:D$100 = AB16) * ((J$2:J$100 &lt;= 0.05)), L$2:L$100, "")))</f>
        <v/>
      </c>
      <c r="AH16" s="51" t="str">
        <f t="shared" si="8"/>
        <v>ME</v>
      </c>
      <c r="AK16" s="44" t="str">
        <f t="shared" si="14"/>
        <v>Superior Safety</v>
      </c>
      <c r="AL16" s="46" t="str">
        <f t="shared" si="15"/>
        <v>OR / RRR</v>
      </c>
      <c r="AM16" s="194" t="str">
        <f t="shared" si="16"/>
        <v>NO DATA</v>
      </c>
      <c r="AN16" s="200">
        <f t="shared" si="17"/>
        <v>0</v>
      </c>
      <c r="AO16" s="46">
        <f t="shared" si="18"/>
        <v>0</v>
      </c>
      <c r="AP16" s="51" t="str" cm="1">
        <f t="array" ref="AP16">_xlfn.TEXTJOIN(", ", TRUE, _xlfn.UNIQUE(IF((AA$2:AA$100 = AK16) * (AH$2:AH$100 = AL16), AF$2:AF$100, "")))</f>
        <v/>
      </c>
      <c r="AQ16" s="51" t="str" cm="1">
        <f t="array" ref="AQ16">_xlfn.TEXTJOIN(", ", TRUE, _xlfn.UNIQUE(IF((AA$2:AA$100 = AK16) * (AH$2:AH$100 = AL16), AG$2:AG$100, "")))</f>
        <v/>
      </c>
      <c r="AW16" s="1"/>
      <c r="AX16" s="1" t="str" cm="1">
        <f t="array" ref="AX16">INDEX($AW$1:$AW$100,INT((ROW(A16)-1)/3)+1)</f>
        <v>Strong Efficacy</v>
      </c>
      <c r="AY16" s="1" t="str" cm="1">
        <f t="array" ref="AY16">INDEX({"OR","RRR","ME"},MOD(ROW(AI16)-1,3)+1)</f>
        <v>OR</v>
      </c>
      <c r="BA16" s="1" t="str" cm="1">
        <f t="array" ref="BA16">INDEX($AW$1:$AW$100,INT((ROW(A16)-1)/2)+1)</f>
        <v>Superior Safety</v>
      </c>
      <c r="BB16" s="6" t="str" cm="1">
        <f t="array" ref="BB16">INDEX({"OR / RRR";"ME"}, MOD(ROW(R16)-1, 2)+1)</f>
        <v>ME</v>
      </c>
    </row>
    <row r="17" spans="1:54" ht="60">
      <c r="A17" s="133"/>
      <c r="B17" s="53"/>
      <c r="C17" s="45"/>
      <c r="D17" s="46"/>
      <c r="E17" s="48"/>
      <c r="F17" s="48"/>
      <c r="G17" s="48"/>
      <c r="H17" s="48"/>
      <c r="I17" s="48"/>
      <c r="J17" s="45"/>
      <c r="K17" s="45"/>
      <c r="L17" s="45"/>
      <c r="R17" s="44" t="str">
        <f t="shared" si="0"/>
        <v>Strong Efficacy</v>
      </c>
      <c r="S17" s="51" t="str">
        <f t="shared" si="1"/>
        <v>OR</v>
      </c>
      <c r="T17" s="51" t="str">
        <f t="shared" si="2"/>
        <v>2,3-8330,6</v>
      </c>
      <c r="U17" s="51" t="str" cm="1">
        <f t="array" ref="U17">_xlfn.TEXTJOIN(", ", TRUE, _xlfn.UNIQUE(_xlfn._xlws.FILTER(K$2:K$100, (A$2:A$100 = R17) * (D$2:D$100 = S17))))</f>
        <v>France (SMR), United Kingdom, Scotland, France, Australia, Canada, Germany, Netherlands, Hungary</v>
      </c>
      <c r="V17" s="51" t="str" cm="1">
        <f t="array" ref="V17">_xlfn.TEXTJOIN(", ", TRUE, _xlfn.UNIQUE(IF((A$2:A$100 = R17) * (D$2:D$100 = S17), L$2:L$100, "")))</f>
        <v>(Kergall et al., 2021), (Ciani et al., 2021)</v>
      </c>
      <c r="AA17" s="44" t="str">
        <f t="shared" si="3"/>
        <v>Strong Efficacy</v>
      </c>
      <c r="AB17" s="51" t="str">
        <f t="shared" si="4"/>
        <v>OR</v>
      </c>
      <c r="AC17" s="194">
        <f t="shared" si="5"/>
        <v>8330.6</v>
      </c>
      <c r="AD17" s="51">
        <f t="shared" si="6"/>
        <v>8330.5949999999993</v>
      </c>
      <c r="AE17" s="51">
        <f t="shared" si="7"/>
        <v>8330.5949999999993</v>
      </c>
      <c r="AF17" s="51" t="str" cm="1">
        <f t="array" ref="AF17">IFERROR(_xlfn.TEXTJOIN(", ", TRUE, _xlfn.UNIQUE(_xlfn._xlws.FILTER(K$2:K$100, (A$2:A$100 = AA17) * (D$2:D$100 = AB17) * ((J$2:J$100 &lt;= 0.05))))), "")</f>
        <v>France (SMR)</v>
      </c>
      <c r="AG17" s="51" t="str" cm="1">
        <f t="array" ref="AG17">_xlfn.TEXTJOIN(", ", TRUE, _xlfn.UNIQUE(IF((A$2:A$100 = AA17) * (D$2:D$100 = AB17) * ((J$2:J$100 &lt;= 0.05)), L$2:L$100, "")))</f>
        <v>(Kergall et al., 2021)</v>
      </c>
      <c r="AH17" s="51" t="str">
        <f t="shared" si="8"/>
        <v>OR / RRR</v>
      </c>
      <c r="AK17" s="44" t="str">
        <f t="shared" si="14"/>
        <v>Superior Safety</v>
      </c>
      <c r="AL17" s="46" t="str">
        <f t="shared" si="15"/>
        <v>ME</v>
      </c>
      <c r="AM17" s="194" t="str">
        <f t="shared" si="16"/>
        <v>NO DATA</v>
      </c>
      <c r="AN17" s="200">
        <f t="shared" si="17"/>
        <v>0</v>
      </c>
      <c r="AO17" s="46">
        <f t="shared" si="18"/>
        <v>0</v>
      </c>
      <c r="AP17" s="51" t="str" cm="1">
        <f t="array" ref="AP17">_xlfn.TEXTJOIN(", ", TRUE, _xlfn.UNIQUE(IF((AA$2:AA$100 = AK17) * (AH$2:AH$100 = AL17), AF$2:AF$100, "")))</f>
        <v/>
      </c>
      <c r="AQ17" s="51" t="str" cm="1">
        <f t="array" ref="AQ17">_xlfn.TEXTJOIN(", ", TRUE, _xlfn.UNIQUE(IF((AA$2:AA$100 = AK17) * (AH$2:AH$100 = AL17), AG$2:AG$100, "")))</f>
        <v/>
      </c>
      <c r="AW17" s="1"/>
      <c r="AX17" s="1" t="str" cm="1">
        <f t="array" ref="AX17">INDEX($AW$1:$AW$100,INT((ROW(A17)-1)/3)+1)</f>
        <v>Strong Efficacy</v>
      </c>
      <c r="AY17" s="1" t="str" cm="1">
        <f t="array" ref="AY17">INDEX({"OR","RRR","ME"},MOD(ROW(AI17)-1,3)+1)</f>
        <v>RRR</v>
      </c>
      <c r="BA17" s="1" t="str" cm="1">
        <f t="array" ref="BA17">INDEX($AW$1:$AW$100,INT((ROW(A17)-1)/2)+1)</f>
        <v>Trial phase</v>
      </c>
      <c r="BB17" s="6" t="str" cm="1">
        <f t="array" ref="BB17">INDEX({"OR / RRR";"ME"}, MOD(ROW(R17)-1, 2)+1)</f>
        <v>OR / RRR</v>
      </c>
    </row>
    <row r="18" spans="1:54" ht="30">
      <c r="A18" s="134" t="s">
        <v>1092</v>
      </c>
      <c r="B18" s="110" t="s">
        <v>885</v>
      </c>
      <c r="C18" s="98" t="s">
        <v>1093</v>
      </c>
      <c r="D18" s="93" t="s">
        <v>879</v>
      </c>
      <c r="E18" s="95">
        <f>EXP(0.998)</f>
        <v>2.7128506977432196</v>
      </c>
      <c r="F18" s="95">
        <f>EXP(0.998-1.96*2.406)</f>
        <v>2.4288312777265401E-2</v>
      </c>
      <c r="G18" s="95">
        <f>EXP(0.998+1.96*2.406)</f>
        <v>303.00824004270271</v>
      </c>
      <c r="H18" s="95"/>
      <c r="I18" s="95"/>
      <c r="J18" s="96" t="s">
        <v>886</v>
      </c>
      <c r="K18" s="96" t="s">
        <v>840</v>
      </c>
      <c r="L18" s="92" t="s">
        <v>1094</v>
      </c>
      <c r="R18" s="44" t="str">
        <f t="shared" si="0"/>
        <v>Strong Efficacy</v>
      </c>
      <c r="S18" s="51" t="str">
        <f t="shared" si="1"/>
        <v>RRR</v>
      </c>
      <c r="T18" s="51" t="str">
        <f t="shared" si="2"/>
        <v>0-0</v>
      </c>
      <c r="U18" s="51" t="e" cm="1" vm="1">
        <f t="array" ref="U18">_xlfn.TEXTJOIN(", ", TRUE, _xlfn.UNIQUE(_xlfn._xlws.FILTER(K$2:K$100, (A$2:A$100 = R18) * (D$2:D$100 = S18))))</f>
        <v>#VALUE!</v>
      </c>
      <c r="V18" s="51" t="str" cm="1">
        <f t="array" ref="V18">_xlfn.TEXTJOIN(", ", TRUE, _xlfn.UNIQUE(IF((A$2:A$100 = R18) * (D$2:D$100 = S18), L$2:L$100, "")))</f>
        <v/>
      </c>
      <c r="AA18" s="44" t="str">
        <f t="shared" si="3"/>
        <v>Strong Efficacy</v>
      </c>
      <c r="AB18" s="51" t="str">
        <f t="shared" si="4"/>
        <v>RRR</v>
      </c>
      <c r="AC18" s="194" t="e">
        <f t="shared" si="5"/>
        <v>#VALUE!</v>
      </c>
      <c r="AD18" s="51" t="str">
        <f t="shared" si="6"/>
        <v>NA</v>
      </c>
      <c r="AE18" s="51" t="str">
        <f t="shared" si="7"/>
        <v>NA</v>
      </c>
      <c r="AF18" s="51" t="str" cm="1">
        <f t="array" ref="AF18">IFERROR(_xlfn.TEXTJOIN(", ", TRUE, _xlfn.UNIQUE(_xlfn._xlws.FILTER(K$2:K$100, (A$2:A$100 = AA18) * (D$2:D$100 = AB18) * ((J$2:J$100 &lt;= 0.05))))), "")</f>
        <v/>
      </c>
      <c r="AG18" s="51" t="str" cm="1">
        <f t="array" ref="AG18">_xlfn.TEXTJOIN(", ", TRUE, _xlfn.UNIQUE(IF((A$2:A$100 = AA18) * (D$2:D$100 = AB18) * ((J$2:J$100 &lt;= 0.05)), L$2:L$100, "")))</f>
        <v/>
      </c>
      <c r="AH18" s="51" t="str">
        <f t="shared" si="8"/>
        <v>OR / RRR</v>
      </c>
      <c r="AK18" s="44" t="str">
        <f t="shared" si="14"/>
        <v>Trial phase</v>
      </c>
      <c r="AL18" s="46" t="str">
        <f t="shared" si="15"/>
        <v>OR / RRR</v>
      </c>
      <c r="AM18" s="194" t="str">
        <f t="shared" si="16"/>
        <v>NO DATA</v>
      </c>
      <c r="AN18" s="200">
        <f t="shared" si="17"/>
        <v>0</v>
      </c>
      <c r="AO18" s="46">
        <f t="shared" si="18"/>
        <v>0</v>
      </c>
      <c r="AP18" s="51" t="str" cm="1">
        <f t="array" ref="AP18">_xlfn.TEXTJOIN(", ", TRUE, _xlfn.UNIQUE(IF((AA$2:AA$100 = AK18) * (AH$2:AH$100 = AL18), AF$2:AF$100, "")))</f>
        <v/>
      </c>
      <c r="AQ18" s="51" t="str" cm="1">
        <f t="array" ref="AQ18">_xlfn.TEXTJOIN(", ", TRUE, _xlfn.UNIQUE(IF((AA$2:AA$100 = AK18) * (AH$2:AH$100 = AL18), AG$2:AG$100, "")))</f>
        <v/>
      </c>
      <c r="AW18" s="1"/>
      <c r="AX18" s="1" t="str" cm="1">
        <f t="array" ref="AX18">INDEX($AW$1:$AW$100,INT((ROW(A18)-1)/3)+1)</f>
        <v>Strong Efficacy</v>
      </c>
      <c r="AY18" s="1" t="str" cm="1">
        <f t="array" ref="AY18">INDEX({"OR","RRR","ME"},MOD(ROW(AI18)-1,3)+1)</f>
        <v>ME</v>
      </c>
      <c r="BA18" s="1" t="str" cm="1">
        <f t="array" ref="BA18">INDEX($AW$1:$AW$100,INT((ROW(A18)-1)/2)+1)</f>
        <v>Trial phase</v>
      </c>
      <c r="BB18" s="6" t="str" cm="1">
        <f t="array" ref="BB18">INDEX({"OR / RRR";"ME"}, MOD(ROW(R18)-1, 2)+1)</f>
        <v>ME</v>
      </c>
    </row>
    <row r="19" spans="1:54" ht="30">
      <c r="A19" s="135" t="s">
        <v>1092</v>
      </c>
      <c r="B19" s="136" t="s">
        <v>897</v>
      </c>
      <c r="C19" s="137" t="s">
        <v>1095</v>
      </c>
      <c r="D19" s="121" t="s">
        <v>894</v>
      </c>
      <c r="E19" s="122">
        <v>0.28000000000000003</v>
      </c>
      <c r="F19" s="122">
        <v>0.09</v>
      </c>
      <c r="G19" s="122">
        <v>0.47</v>
      </c>
      <c r="H19" s="122"/>
      <c r="I19" s="122"/>
      <c r="J19" s="120">
        <v>1E-3</v>
      </c>
      <c r="K19" s="120" t="s">
        <v>365</v>
      </c>
      <c r="L19" s="138" t="s">
        <v>901</v>
      </c>
      <c r="R19" s="44" t="str">
        <f t="shared" si="0"/>
        <v>Strong Efficacy</v>
      </c>
      <c r="S19" s="51" t="str">
        <f t="shared" si="1"/>
        <v>ME</v>
      </c>
      <c r="T19" s="51" t="str">
        <f t="shared" si="2"/>
        <v>0-0</v>
      </c>
      <c r="U19" s="51" t="e" cm="1" vm="1">
        <f t="array" ref="U19">_xlfn.TEXTJOIN(", ", TRUE, _xlfn.UNIQUE(_xlfn._xlws.FILTER(K$2:K$100, (A$2:A$100 = R19) * (D$2:D$100 = S19))))</f>
        <v>#VALUE!</v>
      </c>
      <c r="V19" s="51" t="str" cm="1">
        <f t="array" ref="V19">_xlfn.TEXTJOIN(", ", TRUE, _xlfn.UNIQUE(IF((A$2:A$100 = R19) * (D$2:D$100 = S19), L$2:L$100, "")))</f>
        <v/>
      </c>
      <c r="AA19" s="44" t="str">
        <f t="shared" si="3"/>
        <v>Strong Efficacy</v>
      </c>
      <c r="AB19" s="51" t="str">
        <f t="shared" si="4"/>
        <v>ME</v>
      </c>
      <c r="AC19" s="194" t="e">
        <f t="shared" si="5"/>
        <v>#VALUE!</v>
      </c>
      <c r="AD19" s="51" t="str">
        <f t="shared" si="6"/>
        <v>NA</v>
      </c>
      <c r="AE19" s="51" t="str">
        <f t="shared" si="7"/>
        <v>NA</v>
      </c>
      <c r="AF19" s="51" t="str" cm="1">
        <f t="array" ref="AF19">IFERROR(_xlfn.TEXTJOIN(", ", TRUE, _xlfn.UNIQUE(_xlfn._xlws.FILTER(K$2:K$100, (A$2:A$100 = AA19) * (D$2:D$100 = AB19) * ((J$2:J$100 &lt;= 0.05))))), "")</f>
        <v/>
      </c>
      <c r="AG19" s="51" t="str" cm="1">
        <f t="array" ref="AG19">_xlfn.TEXTJOIN(", ", TRUE, _xlfn.UNIQUE(IF((A$2:A$100 = AA19) * (D$2:D$100 = AB19) * ((J$2:J$100 &lt;= 0.05)), L$2:L$100, "")))</f>
        <v/>
      </c>
      <c r="AH19" s="51" t="str">
        <f t="shared" si="8"/>
        <v>ME</v>
      </c>
      <c r="AK19" s="44" t="str">
        <f t="shared" si="14"/>
        <v>Trial phase</v>
      </c>
      <c r="AL19" s="46" t="str">
        <f t="shared" si="15"/>
        <v>ME</v>
      </c>
      <c r="AM19" s="194">
        <f t="shared" si="16"/>
        <v>0.17</v>
      </c>
      <c r="AN19" s="200">
        <f t="shared" si="17"/>
        <v>0.16700000000000001</v>
      </c>
      <c r="AO19" s="46">
        <f t="shared" si="18"/>
        <v>0.16700000000000001</v>
      </c>
      <c r="AP19" s="51" t="str" cm="1">
        <f t="array" ref="AP19">_xlfn.TEXTJOIN(", ", TRUE, _xlfn.UNIQUE(IF((AA$2:AA$100 = AK19) * (AH$2:AH$100 = AL19), AF$2:AF$100, "")))</f>
        <v>CANADA-(INESSS)</v>
      </c>
      <c r="AQ19" s="51" t="str" cm="1">
        <f t="array" ref="AQ19">_xlfn.TEXTJOIN(", ", TRUE, _xlfn.UNIQUE(IF((AA$2:AA$100 = AK19) * (AH$2:AH$100 = AL19), AG$2:AG$100, "")))</f>
        <v>(Mills, 2023)</v>
      </c>
      <c r="AW19" s="1"/>
      <c r="AX19" s="1" t="str" cm="1">
        <f t="array" ref="AX19">INDEX($AW$1:$AW$100,INT((ROW(A19)-1)/3)+1)</f>
        <v>Superior Efficacy</v>
      </c>
      <c r="AY19" s="1" t="str" cm="1">
        <f t="array" ref="AY19">INDEX({"OR","RRR","ME"},MOD(ROW(AI19)-1,3)+1)</f>
        <v>OR</v>
      </c>
      <c r="BA19" s="1" t="str" cm="1">
        <f t="array" ref="BA19">INDEX($AW$1:$AW$100,INT((ROW(A19)-1)/2)+1)</f>
        <v>Similar Efficacy</v>
      </c>
      <c r="BB19" s="6" t="str" cm="1">
        <f t="array" ref="BB19">INDEX({"OR / RRR";"ME"}, MOD(ROW(R19)-1, 2)+1)</f>
        <v>OR / RRR</v>
      </c>
    </row>
    <row r="20" spans="1:54" ht="78" customHeight="1">
      <c r="A20" s="53"/>
      <c r="B20" s="53"/>
      <c r="C20" s="44"/>
      <c r="D20" s="46"/>
      <c r="E20" s="48"/>
      <c r="F20" s="48"/>
      <c r="G20" s="48"/>
      <c r="H20" s="48"/>
      <c r="I20" s="48"/>
      <c r="J20" s="44"/>
      <c r="K20" s="44"/>
      <c r="L20" s="44"/>
      <c r="R20" s="44" t="str">
        <f t="shared" si="0"/>
        <v>Superior Efficacy</v>
      </c>
      <c r="S20" s="51" t="str">
        <f t="shared" si="1"/>
        <v>OR</v>
      </c>
      <c r="T20" s="51" t="str">
        <f t="shared" si="2"/>
        <v>1,13-524,79</v>
      </c>
      <c r="U20" s="51" t="str" cm="1">
        <f t="array" ref="U20">_xlfn.TEXTJOIN(", ", TRUE, _xlfn.UNIQUE(_xlfn._xlws.FILTER(K$2:K$100, (A$2:A$100 = R20) * (D$2:D$100 = S20))))</f>
        <v>UK, Germany, Poland, Australia, Belgium, South Korea</v>
      </c>
      <c r="V20" s="51" t="str" cm="1">
        <f t="array" ref="V20">_xlfn.TEXTJOIN(", ", TRUE, _xlfn.UNIQUE(IF((A$2:A$100 = R20) * (D$2:D$100 = S20), L$2:L$100, "")))</f>
        <v>(Schaefer et al., 2023), (Malinowski et al., 2016), (Haque et al., 2023), (Kawalec et al., 2018), (Pauwels et al., 2015), (Park et al., 2012)</v>
      </c>
      <c r="W20">
        <v>6</v>
      </c>
      <c r="AA20" s="44" t="str">
        <f t="shared" si="3"/>
        <v>Superior Efficacy</v>
      </c>
      <c r="AB20" s="51" t="str">
        <f t="shared" si="4"/>
        <v>OR</v>
      </c>
      <c r="AC20" s="194">
        <f t="shared" si="5"/>
        <v>524.79</v>
      </c>
      <c r="AD20" s="51">
        <f t="shared" si="6"/>
        <v>524.79095376980729</v>
      </c>
      <c r="AE20" s="51">
        <f t="shared" si="7"/>
        <v>524.79095376980729</v>
      </c>
      <c r="AF20" s="51" t="str" cm="1">
        <f t="array" ref="AF20">IFERROR(_xlfn.TEXTJOIN(", ", TRUE, _xlfn.UNIQUE(_xlfn._xlws.FILTER(K$2:K$100, (A$2:A$100 = AA20) * (D$2:D$100 = AB20) * ((J$2:J$100 &lt;= 0.05))))), "")</f>
        <v>Germany</v>
      </c>
      <c r="AG20" s="51" t="str" cm="1">
        <f t="array" ref="AG20">_xlfn.TEXTJOIN(", ", TRUE, _xlfn.UNIQUE(IF((A$2:A$100 = AA20) * (D$2:D$100 = AB20) * ((J$2:J$100 &lt;= 0.05)), L$2:L$100, "")))</f>
        <v>(Schaefer et al., 2023)</v>
      </c>
      <c r="AH20" s="51" t="str">
        <f t="shared" si="8"/>
        <v>OR / RRR</v>
      </c>
      <c r="AK20" s="44" t="str">
        <f t="shared" si="14"/>
        <v>Similar Efficacy</v>
      </c>
      <c r="AL20" s="46" t="str">
        <f t="shared" si="15"/>
        <v>OR / RRR</v>
      </c>
      <c r="AM20" s="194" t="str">
        <f t="shared" si="16"/>
        <v>NO DATA</v>
      </c>
      <c r="AN20" s="200">
        <f t="shared" si="17"/>
        <v>0</v>
      </c>
      <c r="AO20" s="46">
        <f t="shared" si="18"/>
        <v>0</v>
      </c>
      <c r="AP20" s="51" t="str" cm="1">
        <f t="array" ref="AP20">_xlfn.TEXTJOIN(", ", TRUE, _xlfn.UNIQUE(IF((AA$2:AA$100 = AK20) * (AH$2:AH$100 = AL20), AF$2:AF$100, "")))</f>
        <v/>
      </c>
      <c r="AQ20" s="51" t="str" cm="1">
        <f t="array" ref="AQ20">_xlfn.TEXTJOIN(", ", TRUE, _xlfn.UNIQUE(IF((AA$2:AA$100 = AK20) * (AH$2:AH$100 = AL20), AG$2:AG$100, "")))</f>
        <v/>
      </c>
      <c r="AW20" s="1"/>
      <c r="AX20" s="1" t="str" cm="1">
        <f t="array" ref="AX20">INDEX($AW$1:$AW$100,INT((ROW(A20)-1)/3)+1)</f>
        <v>Superior Efficacy</v>
      </c>
      <c r="AY20" s="1" t="str" cm="1">
        <f t="array" ref="AY20">INDEX({"OR","RRR","ME"},MOD(ROW(AI20)-1,3)+1)</f>
        <v>RRR</v>
      </c>
      <c r="BA20" s="1" t="str" cm="1">
        <f t="array" ref="BA20">INDEX($AW$1:$AW$100,INT((ROW(A20)-1)/2)+1)</f>
        <v>Similar Efficacy</v>
      </c>
      <c r="BB20" s="6" t="str" cm="1">
        <f t="array" ref="BB20">INDEX({"OR / RRR";"ME"}, MOD(ROW(R20)-1, 2)+1)</f>
        <v>ME</v>
      </c>
    </row>
    <row r="21" spans="1:54" ht="60">
      <c r="A21" s="53"/>
      <c r="B21" s="53"/>
      <c r="C21" s="44"/>
      <c r="D21" s="46"/>
      <c r="E21" s="48"/>
      <c r="F21" s="48"/>
      <c r="G21" s="48"/>
      <c r="H21" s="48"/>
      <c r="I21" s="48"/>
      <c r="J21" s="44"/>
      <c r="K21" s="44"/>
      <c r="L21" s="44"/>
      <c r="R21" s="44" t="str">
        <f t="shared" si="0"/>
        <v>Superior Efficacy</v>
      </c>
      <c r="S21" s="51" t="str">
        <f t="shared" si="1"/>
        <v>RRR</v>
      </c>
      <c r="T21" s="51" t="str">
        <f t="shared" si="2"/>
        <v>2,35-7,46</v>
      </c>
      <c r="U21" s="51" t="str" cm="1">
        <f t="array" ref="U21">_xlfn.TEXTJOIN(", ", TRUE, _xlfn.UNIQUE(_xlfn._xlws.FILTER(K$2:K$100, (A$2:A$100 = R21) * (D$2:D$100 = S21))))</f>
        <v>UK, Netherlands</v>
      </c>
      <c r="V21" s="51" t="str" cm="1">
        <f t="array" ref="V21">_xlfn.TEXTJOIN(", ", TRUE, _xlfn.UNIQUE(IF((A$2:A$100 = R21) * (D$2:D$100 = S21), L$2:L$100, "")))</f>
        <v>(H. A. Dakin et al., 2006), (Cerri, Knapp, &amp; Fernandez, 2014b), (Cerri, Knapp, &amp; Fernandez, 2014a)</v>
      </c>
      <c r="W21">
        <v>3</v>
      </c>
      <c r="AA21" s="44" t="str">
        <f t="shared" si="3"/>
        <v>Superior Efficacy</v>
      </c>
      <c r="AB21" s="51" t="str">
        <f t="shared" si="4"/>
        <v>RRR</v>
      </c>
      <c r="AC21" s="194" t="str">
        <f t="shared" si="5"/>
        <v>6,36-7,46</v>
      </c>
      <c r="AD21" s="51">
        <f t="shared" si="6"/>
        <v>6.3598195226018319</v>
      </c>
      <c r="AE21" s="51">
        <f t="shared" si="7"/>
        <v>7.4633173473191929</v>
      </c>
      <c r="AF21" s="51" t="str" cm="1">
        <f t="array" ref="AF21">IFERROR(_xlfn.TEXTJOIN(", ", TRUE, _xlfn.UNIQUE(_xlfn._xlws.FILTER(K$2:K$100, (A$2:A$100 = AA21) * (D$2:D$100 = AB21) * ((J$2:J$100 &lt;= 0.05))))), "")</f>
        <v>UK, Netherlands</v>
      </c>
      <c r="AG21" s="51" t="str" cm="1">
        <f t="array" ref="AG21">_xlfn.TEXTJOIN(", ", TRUE, _xlfn.UNIQUE(IF((A$2:A$100 = AA21) * (D$2:D$100 = AB21) * ((J$2:J$100 &lt;= 0.05)), L$2:L$100, "")))</f>
        <v>(Cerri, Knapp, &amp; Fernandez, 2014b), (Cerri, Knapp, &amp; Fernandez, 2014a)</v>
      </c>
      <c r="AH21" s="51" t="str">
        <f t="shared" si="8"/>
        <v>OR / RRR</v>
      </c>
      <c r="AK21" s="44" t="str">
        <f t="shared" ref="AK21" si="19">BA20</f>
        <v>Similar Efficacy</v>
      </c>
      <c r="AL21" s="46" t="str">
        <f t="shared" ref="AL21" si="20">BB20</f>
        <v>ME</v>
      </c>
      <c r="AM21" s="194" t="str">
        <f t="shared" ref="AM21" si="21">IF(AN21=AO21, IF(AN21=0, "NO DATA", ROUND(AN21, 2)), ROUND(AN21, 2) &amp; "-" &amp; ROUND(AO21, 2))</f>
        <v>NO DATA</v>
      </c>
      <c r="AN21" s="200">
        <f t="shared" ref="AN21" si="22">_xlfn.MINIFS(AD:AD, AA:AA, AK21, AH:AH, AL21)</f>
        <v>0</v>
      </c>
      <c r="AO21" s="46">
        <f t="shared" ref="AO21" si="23">_xlfn.MAXIFS(AE:AE, AA:AA, AK21, AH:AH, AL21)</f>
        <v>0</v>
      </c>
      <c r="AP21" s="51" t="str" cm="1">
        <f t="array" ref="AP21">_xlfn.TEXTJOIN(", ", TRUE, _xlfn.UNIQUE(IF((AA$2:AA$100 = AK21) * (AH$2:AH$100 = AL21), AF$2:AF$100, "")))</f>
        <v/>
      </c>
      <c r="AQ21" s="51" t="str" cm="1">
        <f t="array" ref="AQ21">_xlfn.TEXTJOIN(", ", TRUE, _xlfn.UNIQUE(IF((AA$2:AA$100 = AK21) * (AH$2:AH$100 = AL21), AG$2:AG$100, "")))</f>
        <v/>
      </c>
      <c r="AW21" s="1"/>
      <c r="AX21" s="1" t="str" cm="1">
        <f t="array" ref="AX21">INDEX($AW$1:$AW$100,INT((ROW(A21)-1)/3)+1)</f>
        <v>Superior Efficacy</v>
      </c>
      <c r="AY21" s="1" t="str" cm="1">
        <f t="array" ref="AY21">INDEX({"OR","RRR","ME"},MOD(ROW(AI21)-1,3)+1)</f>
        <v>ME</v>
      </c>
      <c r="BA21" s="1"/>
      <c r="BB21" s="6"/>
    </row>
    <row r="22" spans="1:54" ht="60">
      <c r="A22" s="110" t="s">
        <v>1092</v>
      </c>
      <c r="B22" s="110" t="s">
        <v>885</v>
      </c>
      <c r="C22" s="96" t="s">
        <v>1096</v>
      </c>
      <c r="D22" s="93" t="s">
        <v>879</v>
      </c>
      <c r="E22" s="95">
        <f>EXP(6.263)</f>
        <v>524.79095376980729</v>
      </c>
      <c r="F22" s="95">
        <f>EXP(6.263-1.96*1.227)</f>
        <v>47.374305326395415</v>
      </c>
      <c r="G22" s="95">
        <f>EXP(6.263+1.96*1.227)</f>
        <v>5813.3949038652636</v>
      </c>
      <c r="H22" s="95"/>
      <c r="I22" s="95"/>
      <c r="J22" s="96">
        <v>0.01</v>
      </c>
      <c r="K22" s="96" t="s">
        <v>50</v>
      </c>
      <c r="L22" s="92" t="s">
        <v>1094</v>
      </c>
      <c r="R22" s="44" t="str">
        <f t="shared" si="0"/>
        <v>Superior Efficacy</v>
      </c>
      <c r="S22" s="51" t="str">
        <f t="shared" si="1"/>
        <v>ME</v>
      </c>
      <c r="T22" s="51" t="str">
        <f t="shared" si="2"/>
        <v>-7,91-0,28</v>
      </c>
      <c r="U22" s="51" t="str" cm="1">
        <f t="array" ref="U22">_xlfn.TEXTJOIN(", ", TRUE, _xlfn.UNIQUE(_xlfn._xlws.FILTER(K$2:K$100, (A$2:A$100 = R22) * (D$2:D$100 = S22))))</f>
        <v>Australia, UK, Canada</v>
      </c>
      <c r="V22" s="51" t="str" cm="1">
        <f t="array" ref="V22">_xlfn.TEXTJOIN(", ", TRUE, _xlfn.UNIQUE(IF((A$2:A$100 = R22) * (D$2:D$100 = S22), L$2:L$100, "")))</f>
        <v>(A. H. Harris et al., 2008), (Pinto et al., 2020)</v>
      </c>
      <c r="W22">
        <v>2</v>
      </c>
      <c r="AA22" s="44" t="str">
        <f t="shared" si="3"/>
        <v>Superior Efficacy</v>
      </c>
      <c r="AB22" s="51" t="str">
        <f t="shared" si="4"/>
        <v>ME</v>
      </c>
      <c r="AC22" s="194">
        <f t="shared" si="5"/>
        <v>0.28000000000000003</v>
      </c>
      <c r="AD22" s="51">
        <f t="shared" si="6"/>
        <v>0.28000000000000003</v>
      </c>
      <c r="AE22" s="51">
        <f t="shared" si="7"/>
        <v>0.28000000000000003</v>
      </c>
      <c r="AF22" s="51" t="str" cm="1">
        <f t="array" ref="AF22">IFERROR(_xlfn.TEXTJOIN(", ", TRUE, _xlfn.UNIQUE(_xlfn._xlws.FILTER(K$2:K$100, (A$2:A$100 = AA22) * (D$2:D$100 = AB22) * ((J$2:J$100 &lt;= 0.05))))), "")</f>
        <v>Australia</v>
      </c>
      <c r="AG22" s="51" t="str" cm="1">
        <f t="array" ref="AG22">_xlfn.TEXTJOIN(", ", TRUE, _xlfn.UNIQUE(IF((A$2:A$100 = AA22) * (D$2:D$100 = AB22) * ((J$2:J$100 &lt;= 0.05)), L$2:L$100, "")))</f>
        <v>(A. H. Harris et al., 2008)</v>
      </c>
      <c r="AH22" s="51" t="str">
        <f t="shared" si="8"/>
        <v>ME</v>
      </c>
      <c r="AK22" s="209"/>
      <c r="AL22" s="210"/>
      <c r="AM22" s="211"/>
      <c r="AN22" s="212"/>
      <c r="AO22" s="210"/>
      <c r="AP22" s="213"/>
      <c r="AQ22" s="213"/>
      <c r="AW22" s="1"/>
      <c r="AX22" s="1" t="str" cm="1">
        <f t="array" ref="AX22">INDEX($AW$1:$AW$100,INT((ROW(A22)-1)/3)+1)</f>
        <v>Superior Safety</v>
      </c>
      <c r="AY22" s="1" t="str" cm="1">
        <f t="array" ref="AY22">INDEX({"OR","RRR","ME"},MOD(ROW(AI22)-1,3)+1)</f>
        <v>OR</v>
      </c>
      <c r="BA22" s="1"/>
      <c r="BB22" s="6"/>
    </row>
    <row r="23" spans="1:54" ht="30">
      <c r="A23" s="110" t="s">
        <v>1092</v>
      </c>
      <c r="B23" s="110" t="s">
        <v>1075</v>
      </c>
      <c r="C23" s="96" t="s">
        <v>1097</v>
      </c>
      <c r="D23" s="93" t="s">
        <v>879</v>
      </c>
      <c r="E23" s="95">
        <v>2.2469999999999999</v>
      </c>
      <c r="F23" s="95">
        <v>0.95499999999999996</v>
      </c>
      <c r="G23" s="95">
        <v>5.3120000000000003</v>
      </c>
      <c r="H23" s="95"/>
      <c r="I23" s="95"/>
      <c r="J23" s="96" t="s">
        <v>1098</v>
      </c>
      <c r="K23" s="96" t="s">
        <v>216</v>
      </c>
      <c r="L23" s="92" t="s">
        <v>1077</v>
      </c>
      <c r="R23" s="44" t="str">
        <f t="shared" si="0"/>
        <v>Superior Safety</v>
      </c>
      <c r="S23" s="51" t="str">
        <f t="shared" si="1"/>
        <v>OR</v>
      </c>
      <c r="T23" s="51" t="str">
        <f t="shared" si="2"/>
        <v>16,79-16,79</v>
      </c>
      <c r="U23" s="51" t="str" cm="1">
        <f t="array" ref="U23">_xlfn.TEXTJOIN(", ", TRUE, _xlfn.UNIQUE(_xlfn._xlws.FILTER(K$2:K$100, (A$2:A$100 = R23) * (D$2:D$100 = S23))))</f>
        <v>Australia</v>
      </c>
      <c r="V23" s="51" t="str" cm="1">
        <f t="array" ref="V23">_xlfn.TEXTJOIN(", ", TRUE, _xlfn.UNIQUE(IF((A$2:A$100 = R23) * (D$2:D$100 = S23), L$2:L$100, "")))</f>
        <v>(Haque et al., 2023)</v>
      </c>
      <c r="AA23" s="44" t="str">
        <f t="shared" si="3"/>
        <v>Superior Safety</v>
      </c>
      <c r="AB23" s="51" t="str">
        <f t="shared" si="4"/>
        <v>OR</v>
      </c>
      <c r="AC23" s="194" t="e">
        <f t="shared" si="5"/>
        <v>#VALUE!</v>
      </c>
      <c r="AD23" s="51" t="str">
        <f t="shared" si="6"/>
        <v>NA</v>
      </c>
      <c r="AE23" s="51" t="str">
        <f t="shared" si="7"/>
        <v>NA</v>
      </c>
      <c r="AF23" s="51" t="str" cm="1">
        <f t="array" ref="AF23">IFERROR(_xlfn.TEXTJOIN(", ", TRUE, _xlfn.UNIQUE(_xlfn._xlws.FILTER(K$2:K$100, (A$2:A$100 = AA23) * (D$2:D$100 = AB23) * ((J$2:J$100 &lt;= 0.05))))), "")</f>
        <v/>
      </c>
      <c r="AG23" s="51" t="str" cm="1">
        <f t="array" ref="AG23">_xlfn.TEXTJOIN(", ", TRUE, _xlfn.UNIQUE(IF((A$2:A$100 = AA23) * (D$2:D$100 = AB23) * ((J$2:J$100 &lt;= 0.05)), L$2:L$100, "")))</f>
        <v/>
      </c>
      <c r="AH23" s="51" t="str">
        <f t="shared" si="8"/>
        <v>OR / RRR</v>
      </c>
      <c r="AK23" s="209"/>
      <c r="AL23" s="210"/>
      <c r="AM23" s="211"/>
      <c r="AN23" s="212"/>
      <c r="AO23" s="210"/>
      <c r="AP23" s="213"/>
      <c r="AQ23" s="213"/>
      <c r="AW23" s="1"/>
      <c r="AX23" s="1" t="str" cm="1">
        <f t="array" ref="AX23">INDEX($AW$1:$AW$100,INT((ROW(A23)-1)/3)+1)</f>
        <v>Superior Safety</v>
      </c>
      <c r="AY23" s="1" t="str" cm="1">
        <f t="array" ref="AY23">INDEX({"OR","RRR","ME"},MOD(ROW(AI23)-1,3)+1)</f>
        <v>RRR</v>
      </c>
      <c r="BA23" s="1"/>
      <c r="BB23" s="6"/>
    </row>
    <row r="24" spans="1:54" ht="30">
      <c r="A24" s="110" t="s">
        <v>1092</v>
      </c>
      <c r="B24" s="110" t="s">
        <v>878</v>
      </c>
      <c r="C24" s="100" t="s">
        <v>1097</v>
      </c>
      <c r="D24" s="93" t="s">
        <v>879</v>
      </c>
      <c r="E24" s="95">
        <f>EXP(0.125)</f>
        <v>1.1331484530668263</v>
      </c>
      <c r="F24" s="95">
        <f>EXP(-2.376)</f>
        <v>9.2921521213198896E-2</v>
      </c>
      <c r="G24" s="95">
        <f>EXP(2.625)</f>
        <v>13.804574186067095</v>
      </c>
      <c r="H24" s="95"/>
      <c r="I24" s="95"/>
      <c r="J24" s="100">
        <v>0.92200000000000004</v>
      </c>
      <c r="K24" s="100" t="s">
        <v>365</v>
      </c>
      <c r="L24" s="100" t="s">
        <v>895</v>
      </c>
      <c r="R24" s="44" t="str">
        <f t="shared" si="0"/>
        <v>Superior Safety</v>
      </c>
      <c r="S24" s="51" t="str">
        <f t="shared" si="1"/>
        <v>RRR</v>
      </c>
      <c r="T24" s="51" t="str">
        <f t="shared" si="2"/>
        <v>0-0</v>
      </c>
      <c r="U24" s="51" t="e" cm="1" vm="1">
        <f t="array" ref="U24">_xlfn.TEXTJOIN(", ", TRUE, _xlfn.UNIQUE(_xlfn._xlws.FILTER(K$2:K$100, (A$2:A$100 = R24) * (D$2:D$100 = S24))))</f>
        <v>#VALUE!</v>
      </c>
      <c r="V24" s="51" t="str" cm="1">
        <f t="array" ref="V24">_xlfn.TEXTJOIN(", ", TRUE, _xlfn.UNIQUE(IF((A$2:A$100 = R24) * (D$2:D$100 = S24), L$2:L$100, "")))</f>
        <v/>
      </c>
      <c r="AA24" s="44" t="str">
        <f t="shared" si="3"/>
        <v>Superior Safety</v>
      </c>
      <c r="AB24" s="51" t="str">
        <f t="shared" si="4"/>
        <v>RRR</v>
      </c>
      <c r="AC24" s="194" t="e">
        <f t="shared" si="5"/>
        <v>#VALUE!</v>
      </c>
      <c r="AD24" s="51" t="str">
        <f t="shared" si="6"/>
        <v>NA</v>
      </c>
      <c r="AE24" s="51" t="str">
        <f t="shared" si="7"/>
        <v>NA</v>
      </c>
      <c r="AF24" s="51" t="str" cm="1">
        <f t="array" ref="AF24">IFERROR(_xlfn.TEXTJOIN(", ", TRUE, _xlfn.UNIQUE(_xlfn._xlws.FILTER(K$2:K$100, (A$2:A$100 = AA24) * (D$2:D$100 = AB24) * ((J$2:J$100 &lt;= 0.05))))), "")</f>
        <v/>
      </c>
      <c r="AG24" s="51" t="str" cm="1">
        <f t="array" ref="AG24">_xlfn.TEXTJOIN(", ", TRUE, _xlfn.UNIQUE(IF((A$2:A$100 = AA24) * (D$2:D$100 = AB24) * ((J$2:J$100 &lt;= 0.05)), L$2:L$100, "")))</f>
        <v/>
      </c>
      <c r="AH24" s="51" t="str">
        <f t="shared" si="8"/>
        <v>OR / RRR</v>
      </c>
      <c r="AK24" s="209"/>
      <c r="AL24" s="210"/>
      <c r="AM24" s="211"/>
      <c r="AN24" s="212"/>
      <c r="AO24" s="210"/>
      <c r="AP24" s="213"/>
      <c r="AQ24" s="213"/>
      <c r="AW24" s="1"/>
      <c r="AX24" s="1" t="str" cm="1">
        <f t="array" ref="AX24">INDEX($AW$1:$AW$100,INT((ROW(A24)-1)/3)+1)</f>
        <v>Superior Safety</v>
      </c>
      <c r="AY24" s="1" t="str" cm="1">
        <f t="array" ref="AY24">INDEX({"OR","RRR","ME"},MOD(ROW(AI24)-1,3)+1)</f>
        <v>ME</v>
      </c>
      <c r="BA24" s="1"/>
      <c r="BB24" s="6"/>
    </row>
    <row r="25" spans="1:54" ht="61.5" customHeight="1">
      <c r="A25" s="110" t="s">
        <v>1092</v>
      </c>
      <c r="B25" s="96" t="s">
        <v>914</v>
      </c>
      <c r="C25" s="92" t="s">
        <v>1092</v>
      </c>
      <c r="D25" s="93" t="s">
        <v>891</v>
      </c>
      <c r="E25" s="95">
        <f>1/0.425</f>
        <v>2.3529411764705883</v>
      </c>
      <c r="F25" s="95">
        <f>1/8.259</f>
        <v>0.12108003390240948</v>
      </c>
      <c r="G25" s="95">
        <f>1/0.0218</f>
        <v>45.871559633027523</v>
      </c>
      <c r="H25" s="95"/>
      <c r="I25" s="95"/>
      <c r="J25" s="96">
        <v>0.57199999999999995</v>
      </c>
      <c r="K25" s="96" t="s">
        <v>840</v>
      </c>
      <c r="L25" s="92" t="s">
        <v>916</v>
      </c>
      <c r="R25" s="44" t="str">
        <f t="shared" si="0"/>
        <v>Superior Safety</v>
      </c>
      <c r="S25" s="51" t="str">
        <f t="shared" si="1"/>
        <v>ME</v>
      </c>
      <c r="T25" s="51" t="str">
        <f t="shared" si="2"/>
        <v>0-0</v>
      </c>
      <c r="U25" s="51" t="e" cm="1" vm="1">
        <f t="array" ref="U25">_xlfn.TEXTJOIN(", ", TRUE, _xlfn.UNIQUE(_xlfn._xlws.FILTER(K$2:K$100, (A$2:A$100 = R25) * (D$2:D$100 = S25))))</f>
        <v>#VALUE!</v>
      </c>
      <c r="V25" s="51" t="str" cm="1">
        <f t="array" ref="V25">_xlfn.TEXTJOIN(", ", TRUE, _xlfn.UNIQUE(IF((A$2:A$100 = R25) * (D$2:D$100 = S25), L$2:L$100, "")))</f>
        <v/>
      </c>
      <c r="AA25" s="44" t="str">
        <f t="shared" si="3"/>
        <v>Superior Safety</v>
      </c>
      <c r="AB25" s="51" t="str">
        <f t="shared" si="4"/>
        <v>ME</v>
      </c>
      <c r="AC25" s="194" t="e">
        <f t="shared" si="5"/>
        <v>#VALUE!</v>
      </c>
      <c r="AD25" s="51" t="str">
        <f t="shared" si="6"/>
        <v>NA</v>
      </c>
      <c r="AE25" s="51" t="str">
        <f t="shared" si="7"/>
        <v>NA</v>
      </c>
      <c r="AF25" s="51" t="str" cm="1">
        <f t="array" ref="AF25">IFERROR(_xlfn.TEXTJOIN(", ", TRUE, _xlfn.UNIQUE(_xlfn._xlws.FILTER(K$2:K$100, (A$2:A$100 = AA25) * (D$2:D$100 = AB25) * ((J$2:J$100 &lt;= 0.05))))), "")</f>
        <v/>
      </c>
      <c r="AG25" s="51" t="str" cm="1">
        <f t="array" ref="AG25">_xlfn.TEXTJOIN(", ", TRUE, _xlfn.UNIQUE(IF((A$2:A$100 = AA25) * (D$2:D$100 = AB25) * ((J$2:J$100 &lt;= 0.05)), L$2:L$100, "")))</f>
        <v/>
      </c>
      <c r="AH25" s="51" t="str">
        <f t="shared" si="8"/>
        <v>ME</v>
      </c>
      <c r="AK25" s="209"/>
      <c r="AL25" s="210"/>
      <c r="AM25" s="211"/>
      <c r="AN25" s="212"/>
      <c r="AO25" s="210"/>
      <c r="AP25" s="213"/>
      <c r="AQ25" s="213"/>
      <c r="AW25" s="1"/>
      <c r="AX25" s="1" t="str" cm="1">
        <f t="array" ref="AX25">INDEX($AW$1:$AW$100,INT((ROW(A25)-1)/3)+1)</f>
        <v>Trial phase</v>
      </c>
      <c r="AY25" s="1" t="str" cm="1">
        <f t="array" ref="AY25">INDEX({"OR","RRR","ME"},MOD(ROW(AI25)-1,3)+1)</f>
        <v>OR</v>
      </c>
      <c r="BA25" s="1"/>
      <c r="BB25" s="6"/>
    </row>
    <row r="26" spans="1:54" ht="60">
      <c r="A26" s="110" t="s">
        <v>1092</v>
      </c>
      <c r="B26" s="110" t="s">
        <v>949</v>
      </c>
      <c r="C26" s="100" t="s">
        <v>1099</v>
      </c>
      <c r="D26" s="93" t="s">
        <v>891</v>
      </c>
      <c r="E26" s="95">
        <f>1/EXP(-2.01)</f>
        <v>7.4633173473191929</v>
      </c>
      <c r="F26" s="95">
        <f>1/EXP(-0.38)</f>
        <v>1.4622845894342247</v>
      </c>
      <c r="G26" s="95">
        <f>1/EXP(-3.64)</f>
        <v>38.09183672539902</v>
      </c>
      <c r="H26" s="95"/>
      <c r="I26" s="95"/>
      <c r="J26" s="100">
        <v>0.02</v>
      </c>
      <c r="K26" s="100" t="s">
        <v>840</v>
      </c>
      <c r="L26" s="92" t="s">
        <v>1037</v>
      </c>
      <c r="R26" s="44" t="str">
        <f t="shared" si="0"/>
        <v>Trial phase</v>
      </c>
      <c r="S26" s="51" t="str">
        <f t="shared" si="1"/>
        <v>OR</v>
      </c>
      <c r="T26" s="51" t="str">
        <f t="shared" si="2"/>
        <v>3,53-3,53</v>
      </c>
      <c r="U26" s="51" t="str" cm="1">
        <f t="array" ref="U26">_xlfn.TEXTJOIN(", ", TRUE, _xlfn.UNIQUE(_xlfn._xlws.FILTER(K$2:K$100, (A$2:A$100 = R26) * (D$2:D$100 = S26))))</f>
        <v>CANADA-(INESSS), CANADA-(CADTH) Scotland, UK, France</v>
      </c>
      <c r="V26" s="51" t="str" cm="1">
        <f t="array" ref="V26">_xlfn.TEXTJOIN(", ", TRUE, _xlfn.UNIQUE(IF((A$2:A$100 = R26) * (D$2:D$100 = S26), L$2:L$100, "")))</f>
        <v>(Mills, 2023)</v>
      </c>
      <c r="AA26" s="44" t="str">
        <f t="shared" si="3"/>
        <v>Trial phase</v>
      </c>
      <c r="AB26" s="51" t="str">
        <f t="shared" si="4"/>
        <v>OR</v>
      </c>
      <c r="AC26" s="194" t="e">
        <f t="shared" si="5"/>
        <v>#VALUE!</v>
      </c>
      <c r="AD26" s="51" t="str">
        <f t="shared" si="6"/>
        <v>NA</v>
      </c>
      <c r="AE26" s="51" t="str">
        <f t="shared" si="7"/>
        <v>NA</v>
      </c>
      <c r="AF26" s="51" t="str" cm="1">
        <f t="array" ref="AF26">IFERROR(_xlfn.TEXTJOIN(", ", TRUE, _xlfn.UNIQUE(_xlfn._xlws.FILTER(K$2:K$100, (A$2:A$100 = AA26) * (D$2:D$100 = AB26) * ((J$2:J$100 &lt;= 0.05))))), "")</f>
        <v/>
      </c>
      <c r="AG26" s="51" t="str" cm="1">
        <f t="array" ref="AG26">_xlfn.TEXTJOIN(", ", TRUE, _xlfn.UNIQUE(IF((A$2:A$100 = AA26) * (D$2:D$100 = AB26) * ((J$2:J$100 &lt;= 0.05)), L$2:L$100, "")))</f>
        <v/>
      </c>
      <c r="AH26" s="51" t="str">
        <f t="shared" si="8"/>
        <v>OR / RRR</v>
      </c>
      <c r="AK26" s="209"/>
      <c r="AL26" s="210"/>
      <c r="AM26" s="211"/>
      <c r="AN26" s="212"/>
      <c r="AO26" s="210"/>
      <c r="AP26" s="213"/>
      <c r="AQ26" s="213"/>
      <c r="AW26" s="1"/>
      <c r="AX26" s="1" t="str" cm="1">
        <f t="array" ref="AX26">INDEX($AW$1:$AW$100,INT((ROW(A26)-1)/3)+1)</f>
        <v>Trial phase</v>
      </c>
      <c r="AY26" s="1" t="str" cm="1">
        <f t="array" ref="AY26">INDEX({"OR","RRR","ME"},MOD(ROW(AI26)-1,3)+1)</f>
        <v>RRR</v>
      </c>
      <c r="BA26" s="1"/>
      <c r="BB26" s="6"/>
    </row>
    <row r="27" spans="1:54" ht="60">
      <c r="A27" s="110" t="s">
        <v>1092</v>
      </c>
      <c r="B27" s="110" t="s">
        <v>949</v>
      </c>
      <c r="C27" s="100" t="s">
        <v>1099</v>
      </c>
      <c r="D27" s="93" t="s">
        <v>891</v>
      </c>
      <c r="E27" s="95">
        <f>1/EXP(-1.85)</f>
        <v>6.3598195226018319</v>
      </c>
      <c r="F27" s="95">
        <f>1/EXP(-0.89)</f>
        <v>2.4351296512898744</v>
      </c>
      <c r="G27" s="95">
        <f>1/EXP(-2.82)</f>
        <v>16.776850672139869</v>
      </c>
      <c r="H27" s="95"/>
      <c r="I27" s="95"/>
      <c r="J27" s="100">
        <v>1E-3</v>
      </c>
      <c r="K27" s="100" t="s">
        <v>152</v>
      </c>
      <c r="L27" s="92" t="s">
        <v>950</v>
      </c>
      <c r="R27" s="44" t="str">
        <f t="shared" si="0"/>
        <v>Trial phase</v>
      </c>
      <c r="S27" s="51" t="str">
        <f t="shared" si="1"/>
        <v>RRR</v>
      </c>
      <c r="T27" s="51" t="str">
        <f t="shared" si="2"/>
        <v>0-0</v>
      </c>
      <c r="U27" s="51" t="e" cm="1" vm="1">
        <f t="array" ref="U27">_xlfn.TEXTJOIN(", ", TRUE, _xlfn.UNIQUE(_xlfn._xlws.FILTER(K$2:K$100, (A$2:A$100 = R27) * (D$2:D$100 = S27))))</f>
        <v>#VALUE!</v>
      </c>
      <c r="V27" s="51" t="str" cm="1">
        <f t="array" ref="V27">_xlfn.TEXTJOIN(", ", TRUE, _xlfn.UNIQUE(IF((A$2:A$100 = R27) * (D$2:D$100 = S27), L$2:L$100, "")))</f>
        <v/>
      </c>
      <c r="AA27" s="44" t="str">
        <f t="shared" si="3"/>
        <v>Trial phase</v>
      </c>
      <c r="AB27" s="51" t="str">
        <f t="shared" si="4"/>
        <v>RRR</v>
      </c>
      <c r="AC27" s="194" t="e">
        <f t="shared" si="5"/>
        <v>#VALUE!</v>
      </c>
      <c r="AD27" s="51" t="str">
        <f t="shared" si="6"/>
        <v>NA</v>
      </c>
      <c r="AE27" s="51" t="str">
        <f t="shared" si="7"/>
        <v>NA</v>
      </c>
      <c r="AF27" s="51" t="str" cm="1">
        <f t="array" ref="AF27">IFERROR(_xlfn.TEXTJOIN(", ", TRUE, _xlfn.UNIQUE(_xlfn._xlws.FILTER(K$2:K$100, (A$2:A$100 = AA27) * (D$2:D$100 = AB27) * ((J$2:J$100 &lt;= 0.05))))), "")</f>
        <v/>
      </c>
      <c r="AG27" s="51" t="str" cm="1">
        <f t="array" ref="AG27">_xlfn.TEXTJOIN(", ", TRUE, _xlfn.UNIQUE(IF((A$2:A$100 = AA27) * (D$2:D$100 = AB27) * ((J$2:J$100 &lt;= 0.05)), L$2:L$100, "")))</f>
        <v/>
      </c>
      <c r="AH27" s="51" t="str">
        <f t="shared" si="8"/>
        <v>OR / RRR</v>
      </c>
      <c r="AK27" s="209"/>
      <c r="AL27" s="210"/>
      <c r="AM27" s="211"/>
      <c r="AN27" s="212"/>
      <c r="AO27" s="210"/>
      <c r="AP27" s="213"/>
      <c r="AQ27" s="213"/>
      <c r="AW27" s="1"/>
      <c r="AX27" s="1" t="str" cm="1">
        <f t="array" ref="AX27">INDEX($AW$1:$AW$100,INT((ROW(A27)-1)/3)+1)</f>
        <v>Trial phase</v>
      </c>
      <c r="AY27" s="1" t="str" cm="1">
        <f t="array" ref="AY27">INDEX({"OR","RRR","ME"},MOD(ROW(AI27)-1,3)+1)</f>
        <v>ME</v>
      </c>
      <c r="BA27" s="1"/>
      <c r="BB27" s="6"/>
    </row>
    <row r="28" spans="1:54" ht="30">
      <c r="A28" s="53"/>
      <c r="B28" s="53"/>
      <c r="C28" s="44"/>
      <c r="D28" s="46"/>
      <c r="E28" s="48"/>
      <c r="F28" s="48"/>
      <c r="G28" s="48"/>
      <c r="H28" s="48"/>
      <c r="I28" s="48"/>
      <c r="J28" s="44"/>
      <c r="K28" s="44"/>
      <c r="L28" s="44"/>
      <c r="R28" s="44" t="str">
        <f t="shared" si="0"/>
        <v>Trial phase</v>
      </c>
      <c r="S28" s="51" t="str">
        <f t="shared" si="1"/>
        <v>ME</v>
      </c>
      <c r="T28" s="51" t="str">
        <f t="shared" si="2"/>
        <v>0,04-0,17</v>
      </c>
      <c r="U28" s="51" t="str" cm="1">
        <f t="array" ref="U28">_xlfn.TEXTJOIN(", ", TRUE, _xlfn.UNIQUE(_xlfn._xlws.FILTER(K$2:K$100, (A$2:A$100 = R28) * (D$2:D$100 = S28))))</f>
        <v>France, UK, Scotland, CANADA-(CADTH), CANADA-(INESSS)</v>
      </c>
      <c r="V28" s="51" t="str" cm="1">
        <f t="array" ref="V28">_xlfn.TEXTJOIN(", ", TRUE, _xlfn.UNIQUE(IF((A$2:A$100 = R28) * (D$2:D$100 = S28), L$2:L$100, "")))</f>
        <v>(Mills, 2023)</v>
      </c>
      <c r="AA28" s="44" t="str">
        <f t="shared" si="3"/>
        <v>Trial phase</v>
      </c>
      <c r="AB28" s="51" t="str">
        <f t="shared" si="4"/>
        <v>ME</v>
      </c>
      <c r="AC28" s="194">
        <f t="shared" si="5"/>
        <v>0.17</v>
      </c>
      <c r="AD28" s="51">
        <f t="shared" si="6"/>
        <v>0.16700000000000001</v>
      </c>
      <c r="AE28" s="51">
        <f t="shared" si="7"/>
        <v>0.16700000000000001</v>
      </c>
      <c r="AF28" s="51" t="str" cm="1">
        <f t="array" ref="AF28">IFERROR(_xlfn.TEXTJOIN(", ", TRUE, _xlfn.UNIQUE(_xlfn._xlws.FILTER(K$2:K$100, (A$2:A$100 = AA28) * (D$2:D$100 = AB28) * ((J$2:J$100 &lt;= 0.05))))), "")</f>
        <v>CANADA-(INESSS)</v>
      </c>
      <c r="AG28" s="51" t="str" cm="1">
        <f t="array" ref="AG28">_xlfn.TEXTJOIN(", ", TRUE, _xlfn.UNIQUE(IF((A$2:A$100 = AA28) * (D$2:D$100 = AB28) * ((J$2:J$100 &lt;= 0.05)), L$2:L$100, "")))</f>
        <v>(Mills, 2023)</v>
      </c>
      <c r="AH28" s="51" t="str">
        <f t="shared" si="8"/>
        <v>ME</v>
      </c>
      <c r="AK28" s="209"/>
      <c r="AL28" s="210"/>
      <c r="AM28" s="211"/>
      <c r="AN28" s="212"/>
      <c r="AO28" s="210"/>
      <c r="AP28" s="213"/>
      <c r="AQ28" s="213"/>
      <c r="AW28" s="1"/>
      <c r="AX28" s="1" t="str" cm="1">
        <f t="array" ref="AX28">INDEX($AW$1:$AW$100,INT((ROW(A28)-1)/3)+1)</f>
        <v>Similar Efficacy</v>
      </c>
      <c r="AY28" s="1" t="str" cm="1">
        <f t="array" ref="AY28">INDEX({"OR","RRR","ME"},MOD(ROW(AI28)-1,3)+1)</f>
        <v>OR</v>
      </c>
      <c r="BA28" s="1"/>
      <c r="BB28" s="6"/>
    </row>
    <row r="29" spans="1:54" ht="30">
      <c r="A29" s="246" t="s">
        <v>1100</v>
      </c>
      <c r="B29" s="247" t="s">
        <v>878</v>
      </c>
      <c r="C29" s="248" t="s">
        <v>1101</v>
      </c>
      <c r="D29" s="249" t="s">
        <v>879</v>
      </c>
      <c r="E29" s="250">
        <f>EXP(2.821)</f>
        <v>16.793635914034194</v>
      </c>
      <c r="F29" s="250">
        <f>EXP(-0.478)</f>
        <v>0.62002219698199401</v>
      </c>
      <c r="G29" s="250">
        <f>EXP(6.12)</f>
        <v>454.864694499525</v>
      </c>
      <c r="H29" s="250"/>
      <c r="I29" s="250"/>
      <c r="J29" s="251">
        <v>9.4E-2</v>
      </c>
      <c r="K29" s="251" t="s">
        <v>365</v>
      </c>
      <c r="L29" s="251" t="s">
        <v>895</v>
      </c>
      <c r="R29" s="44" t="str">
        <f t="shared" si="0"/>
        <v>Similar Efficacy</v>
      </c>
      <c r="S29" s="51" t="str">
        <f t="shared" si="1"/>
        <v>OR</v>
      </c>
      <c r="T29" s="51" t="str">
        <f t="shared" si="2"/>
        <v>0,68-18,25</v>
      </c>
      <c r="U29" s="51" t="str" cm="1">
        <f t="array" ref="U29">_xlfn.TEXTJOIN(", ", TRUE, _xlfn.UNIQUE(_xlfn._xlws.FILTER(K$2:K$100, (A$2:A$100 = R29) * (D$2:D$100 = S29))))</f>
        <v>UK, Poland</v>
      </c>
      <c r="V29" s="51" t="str" cm="1">
        <f t="array" ref="V29">_xlfn.TEXTJOIN(", ", TRUE, _xlfn.UNIQUE(IF((A$2:A$100 = R29) * (D$2:D$100 = S29), L$2:L$100, "")))</f>
        <v>(Schaefer et al., 2023), (Kawalec et al., 2018)</v>
      </c>
      <c r="AA29" s="44" t="str">
        <f t="shared" si="3"/>
        <v>Similar Efficacy</v>
      </c>
      <c r="AB29" s="51" t="str">
        <f t="shared" si="4"/>
        <v>OR</v>
      </c>
      <c r="AC29" s="194" t="e">
        <f t="shared" si="5"/>
        <v>#VALUE!</v>
      </c>
      <c r="AD29" s="51" t="str">
        <f t="shared" si="6"/>
        <v>NA</v>
      </c>
      <c r="AE29" s="51" t="str">
        <f t="shared" si="7"/>
        <v>NA</v>
      </c>
      <c r="AF29" s="51" t="str" cm="1">
        <f t="array" ref="AF29">IFERROR(_xlfn.TEXTJOIN(", ", TRUE, _xlfn.UNIQUE(_xlfn._xlws.FILTER(K$2:K$100, (A$2:A$100 = AA29) * (D$2:D$100 = AB29) * ((J$2:J$100 &lt;= 0.05))))), "")</f>
        <v/>
      </c>
      <c r="AG29" s="51" t="str" cm="1">
        <f t="array" ref="AG29">_xlfn.TEXTJOIN(", ", TRUE, _xlfn.UNIQUE(IF((A$2:A$100 = AA29) * (D$2:D$100 = AB29) * ((J$2:J$100 &lt;= 0.05)), L$2:L$100, "")))</f>
        <v/>
      </c>
      <c r="AH29" s="51" t="str">
        <f t="shared" si="8"/>
        <v>OR / RRR</v>
      </c>
      <c r="AK29" s="209"/>
      <c r="AL29" s="210"/>
      <c r="AM29" s="211"/>
      <c r="AN29" s="212"/>
      <c r="AO29" s="210"/>
      <c r="AP29" s="213"/>
      <c r="AQ29" s="213"/>
      <c r="AW29" s="1"/>
      <c r="AX29" s="1" t="str" cm="1">
        <f t="array" ref="AX29">INDEX($AW$1:$AW$100,INT((ROW(A29)-1)/3)+1)</f>
        <v>Similar Efficacy</v>
      </c>
      <c r="AY29" s="1" t="str" cm="1">
        <f t="array" ref="AY29">INDEX({"OR","RRR","ME"},MOD(ROW(AI29)-1,3)+1)</f>
        <v>RRR</v>
      </c>
      <c r="BA29" s="1"/>
      <c r="BB29" s="6"/>
    </row>
    <row r="30" spans="1:54">
      <c r="A30" s="147" t="s">
        <v>1102</v>
      </c>
      <c r="B30" s="93" t="s">
        <v>885</v>
      </c>
      <c r="C30" s="101" t="s">
        <v>1102</v>
      </c>
      <c r="D30" s="93" t="s">
        <v>894</v>
      </c>
      <c r="E30" s="95">
        <v>4.2000000000000003E-2</v>
      </c>
      <c r="F30" s="95">
        <f>E30-1.96*H30</f>
        <v>-2.6600000000000006E-2</v>
      </c>
      <c r="G30" s="95">
        <f>E30+1.96*H30</f>
        <v>0.1106</v>
      </c>
      <c r="H30" s="95">
        <v>3.5000000000000003E-2</v>
      </c>
      <c r="I30" s="95"/>
      <c r="J30" s="96" t="s">
        <v>886</v>
      </c>
      <c r="K30" s="96" t="s">
        <v>565</v>
      </c>
      <c r="L30" s="92" t="s">
        <v>888</v>
      </c>
      <c r="R30" s="44" t="str">
        <f t="shared" si="0"/>
        <v>Similar Efficacy</v>
      </c>
      <c r="S30" s="51" t="str">
        <f t="shared" si="1"/>
        <v>RRR</v>
      </c>
      <c r="T30" s="51" t="str">
        <f t="shared" si="2"/>
        <v>0-0</v>
      </c>
      <c r="U30" s="51" t="e" cm="1" vm="1">
        <f t="array" ref="U30">_xlfn.TEXTJOIN(", ", TRUE, _xlfn.UNIQUE(_xlfn._xlws.FILTER(K$2:K$100, (A$2:A$100 = R30) * (D$2:D$100 = S30))))</f>
        <v>#VALUE!</v>
      </c>
      <c r="V30" s="51" t="str" cm="1">
        <f t="array" ref="V30">_xlfn.TEXTJOIN(", ", TRUE, _xlfn.UNIQUE(IF((A$2:A$100 = R30) * (D$2:D$100 = S30), L$2:L$100, "")))</f>
        <v/>
      </c>
      <c r="AA30" s="44" t="str">
        <f t="shared" si="3"/>
        <v>Similar Efficacy</v>
      </c>
      <c r="AB30" s="51" t="str">
        <f t="shared" si="4"/>
        <v>RRR</v>
      </c>
      <c r="AC30" s="194" t="e">
        <f t="shared" si="5"/>
        <v>#VALUE!</v>
      </c>
      <c r="AD30" s="51" t="str">
        <f t="shared" si="6"/>
        <v>NA</v>
      </c>
      <c r="AE30" s="51" t="str">
        <f t="shared" si="7"/>
        <v>NA</v>
      </c>
      <c r="AF30" s="51" t="str" cm="1">
        <f t="array" ref="AF30">IFERROR(_xlfn.TEXTJOIN(", ", TRUE, _xlfn.UNIQUE(_xlfn._xlws.FILTER(K$2:K$100, (A$2:A$100 = AA30) * (D$2:D$100 = AB30) * ((J$2:J$100 &lt;= 0.05))))), "")</f>
        <v/>
      </c>
      <c r="AG30" s="51" t="str" cm="1">
        <f t="array" ref="AG30">_xlfn.TEXTJOIN(", ", TRUE, _xlfn.UNIQUE(IF((A$2:A$100 = AA30) * (D$2:D$100 = AB30) * ((J$2:J$100 &lt;= 0.05)), L$2:L$100, "")))</f>
        <v/>
      </c>
      <c r="AH30" s="51" t="str">
        <f t="shared" si="8"/>
        <v>OR / RRR</v>
      </c>
      <c r="AK30" s="209"/>
      <c r="AL30" s="210"/>
      <c r="AM30" s="211"/>
      <c r="AN30" s="212"/>
      <c r="AO30" s="210"/>
      <c r="AP30" s="213"/>
      <c r="AQ30" s="213"/>
      <c r="AW30" s="1"/>
      <c r="AX30" s="1" t="str" cm="1">
        <f t="array" ref="AX30">INDEX($AW$1:$AW$100,INT((ROW(A30)-1)/3)+1)</f>
        <v>Similar Efficacy</v>
      </c>
      <c r="AY30" s="1" t="str" cm="1">
        <f t="array" ref="AY30">INDEX({"OR","RRR","ME"},MOD(ROW(AI30)-1,3)+1)</f>
        <v>ME</v>
      </c>
      <c r="BA30" s="1"/>
      <c r="BB30" s="6"/>
    </row>
    <row r="31" spans="1:54">
      <c r="A31" s="147" t="s">
        <v>1102</v>
      </c>
      <c r="B31" s="93" t="s">
        <v>885</v>
      </c>
      <c r="C31" s="101" t="s">
        <v>1102</v>
      </c>
      <c r="D31" s="93" t="s">
        <v>894</v>
      </c>
      <c r="E31" s="95">
        <v>7.6999999999999999E-2</v>
      </c>
      <c r="F31" s="95">
        <f t="shared" ref="F31:F33" si="24">E31-1.96*H31</f>
        <v>-5.3200000000000053E-3</v>
      </c>
      <c r="G31" s="95">
        <f t="shared" ref="G31:G33" si="25">E31+1.96*H31</f>
        <v>0.15932000000000002</v>
      </c>
      <c r="H31" s="95">
        <v>4.2000000000000003E-2</v>
      </c>
      <c r="I31" s="95"/>
      <c r="J31" s="96">
        <v>0.1</v>
      </c>
      <c r="K31" s="96" t="s">
        <v>840</v>
      </c>
      <c r="L31" s="92" t="s">
        <v>888</v>
      </c>
      <c r="R31" s="44" t="str">
        <f t="shared" si="0"/>
        <v>Similar Efficacy</v>
      </c>
      <c r="S31" s="51" t="str">
        <f t="shared" si="1"/>
        <v>ME</v>
      </c>
      <c r="T31" s="51" t="str">
        <f t="shared" si="2"/>
        <v>0-0</v>
      </c>
      <c r="U31" s="51" t="e" cm="1" vm="1">
        <f t="array" ref="U31">_xlfn.TEXTJOIN(", ", TRUE, _xlfn.UNIQUE(_xlfn._xlws.FILTER(K$2:K$100, (A$2:A$100 = R31) * (D$2:D$100 = S31))))</f>
        <v>#VALUE!</v>
      </c>
      <c r="V31" s="51" t="str" cm="1">
        <f t="array" ref="V31">_xlfn.TEXTJOIN(", ", TRUE, _xlfn.UNIQUE(IF((A$2:A$100 = R31) * (D$2:D$100 = S31), L$2:L$100, "")))</f>
        <v/>
      </c>
      <c r="AA31" s="44" t="str">
        <f t="shared" si="3"/>
        <v>Similar Efficacy</v>
      </c>
      <c r="AB31" s="51" t="str">
        <f t="shared" si="4"/>
        <v>ME</v>
      </c>
      <c r="AC31" s="194" t="e">
        <f t="shared" si="5"/>
        <v>#VALUE!</v>
      </c>
      <c r="AD31" s="51" t="str">
        <f t="shared" si="6"/>
        <v>NA</v>
      </c>
      <c r="AE31" s="51" t="str">
        <f t="shared" si="7"/>
        <v>NA</v>
      </c>
      <c r="AF31" s="51" t="str" cm="1">
        <f t="array" ref="AF31">IFERROR(_xlfn.TEXTJOIN(", ", TRUE, _xlfn.UNIQUE(_xlfn._xlws.FILTER(K$2:K$100, (A$2:A$100 = AA31) * (D$2:D$100 = AB31) * ((J$2:J$100 &lt;= 0.05))))), "")</f>
        <v/>
      </c>
      <c r="AG31" s="51" t="str" cm="1">
        <f t="array" ref="AG31">_xlfn.TEXTJOIN(", ", TRUE, _xlfn.UNIQUE(IF((A$2:A$100 = AA31) * (D$2:D$100 = AB31) * ((J$2:J$100 &lt;= 0.05)), L$2:L$100, "")))</f>
        <v/>
      </c>
      <c r="AH31" s="51" t="str">
        <f t="shared" si="8"/>
        <v>ME</v>
      </c>
      <c r="AK31" s="209"/>
      <c r="AL31" s="210"/>
      <c r="AM31" s="211"/>
      <c r="AN31" s="212"/>
      <c r="AO31" s="210"/>
      <c r="AP31" s="213"/>
      <c r="AQ31" s="213"/>
      <c r="AW31" s="1"/>
      <c r="AX31" s="1" cm="1">
        <f t="array" ref="AX31">INDEX($AW$1:$AW$100,INT((ROW(A31)-1)/3)+1)</f>
        <v>0</v>
      </c>
      <c r="AY31" s="1" t="str" cm="1">
        <f t="array" ref="AY31">INDEX({"OR","RRR","ME"},MOD(ROW(AI31)-1,3)+1)</f>
        <v>OR</v>
      </c>
      <c r="BA31" s="1"/>
      <c r="BB31" s="6"/>
    </row>
    <row r="32" spans="1:54">
      <c r="A32" s="147" t="s">
        <v>1102</v>
      </c>
      <c r="B32" s="93" t="s">
        <v>885</v>
      </c>
      <c r="C32" s="101" t="s">
        <v>1102</v>
      </c>
      <c r="D32" s="93" t="s">
        <v>894</v>
      </c>
      <c r="E32" s="95">
        <v>9.7000000000000003E-2</v>
      </c>
      <c r="F32" s="95">
        <f t="shared" si="24"/>
        <v>-2.0599999999999993E-2</v>
      </c>
      <c r="G32" s="95">
        <f t="shared" si="25"/>
        <v>0.21460000000000001</v>
      </c>
      <c r="H32" s="95">
        <v>0.06</v>
      </c>
      <c r="I32" s="95"/>
      <c r="J32" s="96" t="s">
        <v>886</v>
      </c>
      <c r="K32" s="96" t="s">
        <v>548</v>
      </c>
      <c r="L32" s="92" t="s">
        <v>888</v>
      </c>
      <c r="R32" s="205"/>
      <c r="S32" s="202"/>
      <c r="T32" s="202"/>
      <c r="U32" s="202"/>
      <c r="V32" s="202"/>
      <c r="W32" s="207"/>
      <c r="X32" s="207"/>
      <c r="Y32" s="207"/>
      <c r="Z32" s="207"/>
      <c r="AA32" s="205"/>
      <c r="AB32" s="202"/>
      <c r="AC32" s="208"/>
      <c r="AD32" s="202"/>
      <c r="AE32" s="202"/>
      <c r="AF32" s="202"/>
      <c r="AG32" s="202"/>
      <c r="AH32" s="202"/>
      <c r="AW32" s="1"/>
      <c r="AX32" s="1" cm="1">
        <f t="array" ref="AX32">INDEX($AW$1:$AW$100,INT((ROW(A32)-1)/3)+1)</f>
        <v>0</v>
      </c>
      <c r="AY32" s="1" t="str" cm="1">
        <f t="array" ref="AY32">INDEX({"OR","RRR","ME"},MOD(ROW(AI32)-1,3)+1)</f>
        <v>RRR</v>
      </c>
      <c r="BA32" s="1"/>
      <c r="BB32" s="6"/>
    </row>
    <row r="33" spans="1:54" ht="30">
      <c r="A33" s="147" t="s">
        <v>1102</v>
      </c>
      <c r="B33" s="93" t="s">
        <v>885</v>
      </c>
      <c r="C33" s="101" t="s">
        <v>1102</v>
      </c>
      <c r="D33" s="93" t="s">
        <v>894</v>
      </c>
      <c r="E33" s="95">
        <v>0.13600000000000001</v>
      </c>
      <c r="F33" s="95">
        <f t="shared" si="24"/>
        <v>-1.6879999999999978E-2</v>
      </c>
      <c r="G33" s="95">
        <f t="shared" si="25"/>
        <v>0.28888000000000003</v>
      </c>
      <c r="H33" s="95">
        <v>7.8E-2</v>
      </c>
      <c r="I33" s="95"/>
      <c r="J33" s="96">
        <v>0.1</v>
      </c>
      <c r="K33" s="96" t="s">
        <v>960</v>
      </c>
      <c r="L33" s="92" t="s">
        <v>888</v>
      </c>
      <c r="R33" s="205"/>
      <c r="S33" s="202"/>
      <c r="T33" s="202"/>
      <c r="U33" s="202"/>
      <c r="V33" s="202"/>
      <c r="W33" s="207"/>
      <c r="X33" s="207"/>
      <c r="Y33" s="207"/>
      <c r="Z33" s="207"/>
      <c r="AA33" s="205"/>
      <c r="AB33" s="202"/>
      <c r="AC33" s="208"/>
      <c r="AD33" s="202"/>
      <c r="AE33" s="202"/>
      <c r="AF33" s="202"/>
      <c r="AG33" s="202"/>
      <c r="AH33" s="202"/>
      <c r="AW33" s="1"/>
      <c r="AX33" s="1" cm="1">
        <f t="array" ref="AX33">INDEX($AW$1:$AW$100,INT((ROW(A33)-1)/3)+1)</f>
        <v>0</v>
      </c>
      <c r="AY33" s="1" t="str" cm="1">
        <f t="array" ref="AY33">INDEX({"OR","RRR","ME"},MOD(ROW(AI33)-1,3)+1)</f>
        <v>ME</v>
      </c>
      <c r="BA33" s="1"/>
      <c r="BB33" s="6"/>
    </row>
    <row r="34" spans="1:54" ht="90">
      <c r="A34" s="147" t="s">
        <v>1102</v>
      </c>
      <c r="B34" s="93" t="s">
        <v>885</v>
      </c>
      <c r="C34" s="101" t="s">
        <v>1102</v>
      </c>
      <c r="D34" s="93" t="s">
        <v>879</v>
      </c>
      <c r="E34" s="95">
        <v>3.528</v>
      </c>
      <c r="F34" s="95"/>
      <c r="G34" s="95"/>
      <c r="H34" s="95">
        <v>2.3839999999999999</v>
      </c>
      <c r="I34" s="95"/>
      <c r="J34" s="96">
        <v>0.1</v>
      </c>
      <c r="K34" s="96" t="s">
        <v>887</v>
      </c>
      <c r="L34" s="92" t="s">
        <v>888</v>
      </c>
      <c r="R34" s="205"/>
      <c r="S34" s="202"/>
      <c r="T34" s="202"/>
      <c r="U34" s="202"/>
      <c r="V34" s="202"/>
      <c r="W34" s="207"/>
      <c r="X34" s="207"/>
      <c r="Y34" s="207"/>
      <c r="Z34" s="207"/>
      <c r="AA34" s="205"/>
      <c r="AB34" s="202"/>
      <c r="AC34" s="208"/>
      <c r="AD34" s="202"/>
      <c r="AE34" s="202"/>
      <c r="AF34" s="202"/>
      <c r="AG34" s="202"/>
      <c r="AH34" s="202"/>
      <c r="AW34" s="1"/>
      <c r="AX34" s="1" cm="1">
        <f t="array" ref="AX34">INDEX($AW$1:$AW$100,INT((ROW(A34)-1)/3)+1)</f>
        <v>0</v>
      </c>
      <c r="AY34" s="1" t="str" cm="1">
        <f t="array" ref="AY34">INDEX({"OR","RRR","ME"},MOD(ROW(AI34)-1,3)+1)</f>
        <v>OR</v>
      </c>
      <c r="BA34" s="1"/>
      <c r="BB34" s="6"/>
    </row>
    <row r="35" spans="1:54" ht="30">
      <c r="A35" s="103" t="s">
        <v>1103</v>
      </c>
      <c r="B35" s="129" t="s">
        <v>885</v>
      </c>
      <c r="C35" s="98" t="s">
        <v>1104</v>
      </c>
      <c r="D35" s="93" t="s">
        <v>879</v>
      </c>
      <c r="E35" s="95">
        <f>EXP(-0.379)</f>
        <v>0.68454561266627822</v>
      </c>
      <c r="F35" s="95">
        <f>EXP(-0.379-1.96*2.425)</f>
        <v>5.9047391779706374E-3</v>
      </c>
      <c r="G35" s="95">
        <f>EXP(-0.379+1.96*2.425)</f>
        <v>79.36043941939208</v>
      </c>
      <c r="H35" s="95"/>
      <c r="I35" s="95"/>
      <c r="J35" s="96" t="s">
        <v>886</v>
      </c>
      <c r="K35" s="96" t="s">
        <v>840</v>
      </c>
      <c r="L35" s="92" t="s">
        <v>1094</v>
      </c>
      <c r="R35" s="205"/>
      <c r="S35" s="202"/>
      <c r="T35" s="202"/>
      <c r="U35" s="202"/>
      <c r="V35" s="202"/>
      <c r="W35" s="207"/>
      <c r="X35" s="207"/>
      <c r="Y35" s="207"/>
      <c r="Z35" s="207"/>
      <c r="AA35" s="205"/>
      <c r="AB35" s="202"/>
      <c r="AC35" s="208"/>
      <c r="AD35" s="202"/>
      <c r="AE35" s="202"/>
      <c r="AF35" s="202"/>
      <c r="AG35" s="202"/>
      <c r="AH35" s="202"/>
      <c r="AW35" s="1"/>
      <c r="AX35" s="1" cm="1">
        <f t="array" ref="AX35">INDEX($AW$1:$AW$100,INT((ROW(A35)-1)/3)+1)</f>
        <v>0</v>
      </c>
      <c r="AY35" s="1" t="str" cm="1">
        <f t="array" ref="AY35">INDEX({"OR","RRR","ME"},MOD(ROW(AI35)-1,3)+1)</f>
        <v>RRR</v>
      </c>
      <c r="BA35" s="1"/>
      <c r="BB35" s="6"/>
    </row>
    <row r="36" spans="1:54">
      <c r="A36" s="53"/>
      <c r="B36" s="53"/>
      <c r="C36" s="44"/>
      <c r="D36" s="46"/>
      <c r="E36" s="48"/>
      <c r="F36" s="48"/>
      <c r="G36" s="48"/>
      <c r="H36" s="48"/>
      <c r="I36" s="48"/>
      <c r="J36" s="44"/>
      <c r="K36" s="44"/>
      <c r="L36" s="44"/>
      <c r="R36" s="205"/>
      <c r="S36" s="202"/>
      <c r="T36" s="202"/>
      <c r="U36" s="202"/>
      <c r="V36" s="202"/>
      <c r="W36" s="207"/>
      <c r="X36" s="207"/>
      <c r="Y36" s="207"/>
      <c r="Z36" s="207"/>
      <c r="AA36" s="205"/>
      <c r="AB36" s="202"/>
      <c r="AC36" s="208"/>
      <c r="AD36" s="202"/>
      <c r="AE36" s="202"/>
      <c r="AF36" s="202"/>
      <c r="AG36" s="202"/>
      <c r="AH36" s="202"/>
      <c r="AW36" s="1"/>
      <c r="AX36" s="1" cm="1">
        <f t="array" ref="AX36">INDEX($AW$1:$AW$100,INT((ROW(A36)-1)/3)+1)</f>
        <v>0</v>
      </c>
      <c r="AY36" s="1" t="str" cm="1">
        <f t="array" ref="AY36">INDEX({"OR","RRR","ME"},MOD(ROW(AI36)-1,3)+1)</f>
        <v>ME</v>
      </c>
      <c r="BA36" s="1"/>
      <c r="BB36" s="6"/>
    </row>
    <row r="37" spans="1:54" ht="135">
      <c r="A37" s="142" t="s">
        <v>1090</v>
      </c>
      <c r="B37" s="108" t="s">
        <v>897</v>
      </c>
      <c r="C37" s="96" t="s">
        <v>1105</v>
      </c>
      <c r="D37" s="93" t="s">
        <v>879</v>
      </c>
      <c r="E37" s="95">
        <v>2.2999999999999998</v>
      </c>
      <c r="F37" s="95">
        <v>0.51</v>
      </c>
      <c r="G37" s="95">
        <v>10.45</v>
      </c>
      <c r="H37" s="95"/>
      <c r="I37" s="95"/>
      <c r="J37" s="96">
        <v>0.28000000000000003</v>
      </c>
      <c r="K37" s="96" t="s">
        <v>1106</v>
      </c>
      <c r="L37" s="92" t="s">
        <v>1026</v>
      </c>
      <c r="R37" s="205"/>
      <c r="S37" s="202"/>
      <c r="T37" s="202"/>
      <c r="U37" s="202"/>
      <c r="V37" s="202"/>
      <c r="W37" s="207"/>
      <c r="X37" s="207"/>
      <c r="Y37" s="207"/>
      <c r="Z37" s="207"/>
      <c r="AA37" s="205"/>
      <c r="AB37" s="202"/>
      <c r="AC37" s="208"/>
      <c r="AD37" s="202"/>
      <c r="AE37" s="202"/>
      <c r="AF37" s="202"/>
      <c r="AG37" s="202"/>
      <c r="AH37" s="202"/>
      <c r="AW37" s="1"/>
      <c r="AX37" s="1" cm="1">
        <f t="array" ref="AX37">INDEX($AW$1:$AW$100,INT((ROW(A37)-1)/3)+1)</f>
        <v>0</v>
      </c>
      <c r="AY37" s="1" t="str" cm="1">
        <f t="array" ref="AY37">INDEX({"OR","RRR","ME"},MOD(ROW(AI37)-1,3)+1)</f>
        <v>OR</v>
      </c>
      <c r="BA37" s="1"/>
      <c r="BB37" s="6"/>
    </row>
    <row r="38" spans="1:54" ht="177.75" customHeight="1">
      <c r="A38" s="142" t="s">
        <v>1103</v>
      </c>
      <c r="B38" s="142" t="s">
        <v>885</v>
      </c>
      <c r="C38" s="92" t="s">
        <v>1107</v>
      </c>
      <c r="D38" s="93" t="s">
        <v>879</v>
      </c>
      <c r="E38" s="95">
        <v>18.25</v>
      </c>
      <c r="F38" s="95">
        <v>2.77</v>
      </c>
      <c r="G38" s="95">
        <v>120.25</v>
      </c>
      <c r="H38" s="95"/>
      <c r="I38" s="95"/>
      <c r="J38" s="96" t="s">
        <v>1108</v>
      </c>
      <c r="K38" s="96" t="s">
        <v>216</v>
      </c>
      <c r="L38" s="92" t="s">
        <v>991</v>
      </c>
      <c r="R38" s="205"/>
      <c r="S38" s="202"/>
      <c r="T38" s="202"/>
      <c r="U38" s="202"/>
      <c r="V38" s="202"/>
      <c r="W38" s="207"/>
      <c r="X38" s="207"/>
      <c r="Y38" s="207"/>
      <c r="Z38" s="207"/>
      <c r="AA38" s="205"/>
      <c r="AB38" s="202"/>
      <c r="AC38" s="208"/>
      <c r="AD38" s="202"/>
      <c r="AE38" s="202"/>
      <c r="AF38" s="202"/>
      <c r="AG38" s="202"/>
      <c r="AH38" s="202"/>
      <c r="AW38" s="1"/>
      <c r="AX38" s="1" t="e" cm="1">
        <f t="array" ref="AX38">INDEX($AW$1:$AW$100,INT((ROW(#REF!)-1)/3)+1)</f>
        <v>#REF!</v>
      </c>
      <c r="AY38" s="1" t="str" cm="1">
        <f t="array" ref="AY38">INDEX({"OR","RRR","ME"},MOD(ROW(AI38)-1,3)+1)</f>
        <v>RRR</v>
      </c>
      <c r="BA38" s="1"/>
      <c r="BB38" s="6"/>
    </row>
    <row r="39" spans="1:54" ht="45">
      <c r="A39" s="252" t="s">
        <v>1092</v>
      </c>
      <c r="B39" s="252" t="s">
        <v>885</v>
      </c>
      <c r="C39" s="253" t="s">
        <v>1109</v>
      </c>
      <c r="D39" s="244" t="s">
        <v>879</v>
      </c>
      <c r="E39" s="245">
        <v>45.3</v>
      </c>
      <c r="F39" s="245">
        <v>6.69</v>
      </c>
      <c r="G39" s="245">
        <v>306.64</v>
      </c>
      <c r="H39" s="245"/>
      <c r="I39" s="245"/>
      <c r="J39" s="254" t="s">
        <v>1110</v>
      </c>
      <c r="K39" s="254" t="s">
        <v>216</v>
      </c>
      <c r="L39" s="253" t="s">
        <v>991</v>
      </c>
      <c r="R39" s="205"/>
      <c r="S39" s="202"/>
      <c r="T39" s="202"/>
      <c r="U39" s="202"/>
      <c r="V39" s="202"/>
      <c r="W39" s="207"/>
      <c r="X39" s="207"/>
      <c r="Y39" s="207"/>
      <c r="Z39" s="207"/>
      <c r="AA39" s="205"/>
      <c r="AB39" s="202"/>
      <c r="AC39" s="208"/>
      <c r="AD39" s="202"/>
      <c r="AE39" s="202"/>
      <c r="AF39" s="202"/>
      <c r="AG39" s="202"/>
      <c r="AH39" s="202"/>
      <c r="AW39" s="1"/>
      <c r="AX39" s="1" t="e" cm="1">
        <f t="array" ref="AX39">INDEX($AW$1:$AW$100,INT((ROW(#REF!)-1)/3)+1)</f>
        <v>#REF!</v>
      </c>
      <c r="AY39" s="1" t="str" cm="1">
        <f t="array" ref="AY39">INDEX({"OR","RRR","ME"},MOD(ROW(AI39)-1,3)+1)</f>
        <v>ME</v>
      </c>
      <c r="BA39" s="1"/>
      <c r="BB39" s="6"/>
    </row>
    <row r="40" spans="1:54" ht="45">
      <c r="A40" s="252" t="s">
        <v>1092</v>
      </c>
      <c r="B40" s="255" t="s">
        <v>897</v>
      </c>
      <c r="C40" s="253" t="s">
        <v>1111</v>
      </c>
      <c r="D40" s="244" t="s">
        <v>879</v>
      </c>
      <c r="E40" s="245">
        <v>41.478000000000002</v>
      </c>
      <c r="F40" s="245">
        <v>22.963000000000001</v>
      </c>
      <c r="G40" s="245">
        <v>580.66999999999996</v>
      </c>
      <c r="H40" s="245"/>
      <c r="I40" s="245"/>
      <c r="J40" s="254" t="s">
        <v>1112</v>
      </c>
      <c r="K40" s="254" t="s">
        <v>335</v>
      </c>
      <c r="L40" s="253" t="s">
        <v>1022</v>
      </c>
      <c r="R40" s="205"/>
      <c r="S40" s="202"/>
      <c r="T40" s="202"/>
      <c r="U40" s="202"/>
      <c r="V40" s="202"/>
      <c r="W40" s="207"/>
      <c r="X40" s="207"/>
      <c r="Y40" s="207"/>
      <c r="Z40" s="207"/>
      <c r="AA40" s="205"/>
      <c r="AB40" s="202"/>
      <c r="AC40" s="208"/>
      <c r="AD40" s="202"/>
      <c r="AE40" s="202"/>
      <c r="AF40" s="202"/>
      <c r="AG40" s="202"/>
      <c r="AH40" s="202"/>
      <c r="AW40" s="1"/>
      <c r="AX40" s="1" t="e" cm="1">
        <f t="array" ref="AX40">INDEX($AW$1:$AW$100,INT((ROW(#REF!)-1)/3)+1)</f>
        <v>#REF!</v>
      </c>
      <c r="AY40" s="1" t="str" cm="1">
        <f t="array" ref="AY40">INDEX({"OR","RRR","ME"},MOD(ROW(AI40)-1,3)+1)</f>
        <v>OR</v>
      </c>
      <c r="BA40" s="1"/>
      <c r="BB40" s="6"/>
    </row>
    <row r="41" spans="1:54" ht="45">
      <c r="A41" s="252" t="s">
        <v>1092</v>
      </c>
      <c r="B41" s="252" t="s">
        <v>1113</v>
      </c>
      <c r="C41" s="253" t="s">
        <v>1111</v>
      </c>
      <c r="D41" s="244" t="s">
        <v>879</v>
      </c>
      <c r="E41" s="245">
        <v>28.012</v>
      </c>
      <c r="F41" s="245">
        <v>1.9650000000000001</v>
      </c>
      <c r="G41" s="245">
        <v>399.387</v>
      </c>
      <c r="H41" s="245"/>
      <c r="I41" s="245"/>
      <c r="J41" s="254" t="s">
        <v>1114</v>
      </c>
      <c r="K41" s="254" t="s">
        <v>182</v>
      </c>
      <c r="L41" s="253" t="s">
        <v>1115</v>
      </c>
      <c r="R41" s="205"/>
      <c r="S41" s="202"/>
      <c r="T41" s="202"/>
      <c r="U41" s="202"/>
      <c r="V41" s="202"/>
      <c r="W41" s="207"/>
      <c r="X41" s="207"/>
      <c r="Y41" s="207"/>
      <c r="Z41" s="207"/>
      <c r="AA41" s="205"/>
      <c r="AB41" s="202"/>
      <c r="AC41" s="208"/>
      <c r="AD41" s="202"/>
      <c r="AE41" s="202"/>
      <c r="AF41" s="202"/>
      <c r="AG41" s="202"/>
      <c r="AH41" s="202"/>
      <c r="AW41" s="1"/>
      <c r="AX41" s="1" t="e" cm="1">
        <f t="array" ref="AX41">INDEX($AW$1:$AW$100,INT((ROW(#REF!)-1)/3)+1)</f>
        <v>#REF!</v>
      </c>
      <c r="AY41" s="1" t="str" cm="1">
        <f t="array" ref="AY41">INDEX({"OR","RRR","ME"},MOD(ROW(AI41)-1,3)+1)</f>
        <v>RRR</v>
      </c>
      <c r="BA41" s="1"/>
      <c r="BB41" s="6"/>
    </row>
    <row r="42" spans="1:54" ht="30">
      <c r="A42" s="252" t="s">
        <v>1092</v>
      </c>
      <c r="B42" s="255" t="s">
        <v>907</v>
      </c>
      <c r="C42" s="52" t="s">
        <v>1116</v>
      </c>
      <c r="D42" s="244" t="s">
        <v>894</v>
      </c>
      <c r="E42" s="245">
        <v>-7.91</v>
      </c>
      <c r="F42" s="245">
        <v>-23.67</v>
      </c>
      <c r="G42" s="245">
        <v>7.85</v>
      </c>
      <c r="H42" s="245"/>
      <c r="I42" s="245"/>
      <c r="J42" s="52">
        <v>0.318</v>
      </c>
      <c r="K42" s="52" t="s">
        <v>840</v>
      </c>
      <c r="L42" s="52" t="s">
        <v>990</v>
      </c>
      <c r="R42" s="205"/>
      <c r="S42" s="202"/>
      <c r="T42" s="202"/>
      <c r="U42" s="202"/>
      <c r="V42" s="202"/>
      <c r="W42" s="207"/>
      <c r="X42" s="207"/>
      <c r="Y42" s="207"/>
      <c r="Z42" s="207"/>
      <c r="AA42" s="205"/>
      <c r="AB42" s="202"/>
      <c r="AC42" s="208"/>
      <c r="AD42" s="202"/>
      <c r="AE42" s="202"/>
      <c r="AF42" s="202"/>
      <c r="AG42" s="202"/>
      <c r="AH42" s="202"/>
      <c r="AW42" s="1"/>
      <c r="AX42" s="1" t="e" cm="1">
        <f t="array" ref="AX42">INDEX($AW$1:$AW$100,INT((ROW(#REF!)-1)/3)+1)</f>
        <v>#REF!</v>
      </c>
      <c r="AY42" s="1" t="str" cm="1">
        <f t="array" ref="AY42">INDEX({"OR","RRR","ME"},MOD(ROW(AI42)-1,3)+1)</f>
        <v>ME</v>
      </c>
      <c r="BA42" s="1"/>
      <c r="BB42" s="6"/>
    </row>
    <row r="43" spans="1:54" ht="30">
      <c r="A43" s="252" t="s">
        <v>1092</v>
      </c>
      <c r="B43" s="255" t="s">
        <v>907</v>
      </c>
      <c r="C43" s="52" t="s">
        <v>1116</v>
      </c>
      <c r="D43" s="244" t="s">
        <v>894</v>
      </c>
      <c r="E43" s="245">
        <v>-4.3099999999999996</v>
      </c>
      <c r="F43" s="245">
        <v>29.69</v>
      </c>
      <c r="G43" s="245">
        <v>21.07</v>
      </c>
      <c r="H43" s="245"/>
      <c r="I43" s="245"/>
      <c r="J43" s="52">
        <v>0.73299999999999998</v>
      </c>
      <c r="K43" s="52" t="s">
        <v>631</v>
      </c>
      <c r="L43" s="52" t="s">
        <v>990</v>
      </c>
      <c r="R43" s="205"/>
      <c r="S43" s="202"/>
      <c r="T43" s="202"/>
      <c r="U43" s="202"/>
      <c r="V43" s="202"/>
      <c r="W43" s="207"/>
      <c r="X43" s="207"/>
      <c r="Y43" s="207"/>
      <c r="Z43" s="207"/>
      <c r="AA43" s="205"/>
      <c r="AB43" s="202"/>
      <c r="AC43" s="208"/>
      <c r="AD43" s="202"/>
      <c r="AE43" s="202"/>
      <c r="AF43" s="202"/>
      <c r="AG43" s="202"/>
      <c r="AH43" s="202"/>
      <c r="AW43" s="1"/>
      <c r="AX43" s="1" t="e" cm="1">
        <f t="array" ref="AX43">INDEX($AW$1:$AW$100,INT((ROW(#REF!)-1)/3)+1)</f>
        <v>#REF!</v>
      </c>
      <c r="AY43" s="1" t="str" cm="1">
        <f t="array" ref="AY43">INDEX({"OR","RRR","ME"},MOD(ROW(AI43)-1,3)+1)</f>
        <v>OR</v>
      </c>
      <c r="BA43" s="1"/>
      <c r="BB43" s="6"/>
    </row>
    <row r="44" spans="1:54">
      <c r="A44" s="142"/>
      <c r="B44" s="142"/>
      <c r="C44" s="162"/>
      <c r="D44" s="121"/>
      <c r="E44" s="122"/>
      <c r="F44" s="122"/>
      <c r="G44" s="122"/>
      <c r="H44" s="122"/>
      <c r="I44" s="122"/>
      <c r="J44" s="162"/>
      <c r="K44" s="162"/>
      <c r="L44" s="162"/>
      <c r="R44" s="205"/>
      <c r="S44" s="202"/>
      <c r="T44" s="202"/>
      <c r="U44" s="202"/>
      <c r="V44" s="202"/>
      <c r="W44" s="207"/>
      <c r="X44" s="207"/>
      <c r="Y44" s="207"/>
      <c r="Z44" s="207"/>
      <c r="AA44" s="205"/>
      <c r="AB44" s="202"/>
      <c r="AC44" s="208"/>
      <c r="AD44" s="202"/>
      <c r="AE44" s="202"/>
      <c r="AF44" s="202"/>
      <c r="AG44" s="202"/>
      <c r="AH44" s="202"/>
      <c r="AW44" s="1"/>
      <c r="AX44" s="1" t="e" cm="1">
        <f t="array" ref="AX44">INDEX($AW$1:$AW$100,INT((ROW(#REF!)-1)/3)+1)</f>
        <v>#REF!</v>
      </c>
      <c r="AY44" s="1" t="str" cm="1">
        <f t="array" ref="AY44">INDEX({"OR","RRR","ME"},MOD(ROW(AI44)-1,3)+1)</f>
        <v>RRR</v>
      </c>
      <c r="BA44" s="1"/>
      <c r="BB44" s="6"/>
    </row>
    <row r="45" spans="1:54" ht="60">
      <c r="A45" s="118" t="s">
        <v>1087</v>
      </c>
      <c r="B45" s="118" t="s">
        <v>1113</v>
      </c>
      <c r="C45" s="96" t="s">
        <v>1117</v>
      </c>
      <c r="D45" s="93" t="s">
        <v>879</v>
      </c>
      <c r="E45" s="95">
        <v>4.0999999999999996</v>
      </c>
      <c r="F45" s="95">
        <v>1.016</v>
      </c>
      <c r="G45" s="95">
        <v>16.539000000000001</v>
      </c>
      <c r="H45" s="95"/>
      <c r="I45" s="95"/>
      <c r="J45" s="96" t="s">
        <v>1114</v>
      </c>
      <c r="K45" s="96" t="s">
        <v>182</v>
      </c>
      <c r="L45" s="92" t="s">
        <v>1115</v>
      </c>
      <c r="R45" s="205"/>
      <c r="S45" s="202"/>
      <c r="T45" s="202"/>
      <c r="U45" s="202"/>
      <c r="V45" s="202"/>
      <c r="W45" s="207"/>
      <c r="X45" s="207"/>
      <c r="Y45" s="207"/>
      <c r="Z45" s="207"/>
      <c r="AA45" s="205"/>
      <c r="AB45" s="202"/>
      <c r="AC45" s="208"/>
      <c r="AD45" s="202"/>
      <c r="AE45" s="202"/>
      <c r="AF45" s="202"/>
      <c r="AG45" s="202"/>
      <c r="AH45" s="202"/>
      <c r="AW45" s="1"/>
      <c r="AX45" s="1" cm="1">
        <f t="array" ref="AX45">INDEX($AW$1:$AW$100,INT((ROW(A45)-1)/3)+1)</f>
        <v>0</v>
      </c>
      <c r="AY45" s="1" t="str" cm="1">
        <f t="array" ref="AY45">INDEX({"OR","RRR","ME"},MOD(ROW(AI45)-1,3)+1)</f>
        <v>ME</v>
      </c>
      <c r="BA45" s="1"/>
      <c r="BB45" s="6"/>
    </row>
    <row r="46" spans="1:54" ht="30">
      <c r="A46" s="118" t="s">
        <v>1102</v>
      </c>
      <c r="B46" s="97" t="s">
        <v>885</v>
      </c>
      <c r="C46" s="96" t="s">
        <v>1102</v>
      </c>
      <c r="D46" s="93" t="s">
        <v>894</v>
      </c>
      <c r="E46" s="95">
        <v>0.16700000000000001</v>
      </c>
      <c r="F46" s="95">
        <f t="shared" ref="F46" si="26">E46-1.96*H46</f>
        <v>4.3199999999999905E-3</v>
      </c>
      <c r="G46" s="95">
        <f t="shared" ref="G46" si="27">E46+1.96*H46</f>
        <v>0.32968000000000003</v>
      </c>
      <c r="H46" s="95">
        <v>8.3000000000000004E-2</v>
      </c>
      <c r="I46" s="95"/>
      <c r="J46" s="96">
        <v>0.05</v>
      </c>
      <c r="K46" s="96" t="s">
        <v>1033</v>
      </c>
      <c r="L46" s="92" t="s">
        <v>888</v>
      </c>
      <c r="R46" s="205"/>
      <c r="S46" s="202"/>
      <c r="T46" s="202"/>
      <c r="U46" s="202"/>
      <c r="V46" s="202"/>
      <c r="W46" s="207"/>
      <c r="X46" s="207"/>
      <c r="Y46" s="207"/>
      <c r="Z46" s="207"/>
      <c r="AA46" s="205"/>
      <c r="AB46" s="202"/>
      <c r="AC46" s="208"/>
      <c r="AD46" s="202"/>
      <c r="AE46" s="202"/>
      <c r="AF46" s="202"/>
      <c r="AG46" s="202"/>
      <c r="AH46" s="202"/>
      <c r="AW46" s="1"/>
      <c r="AX46" s="1" cm="1">
        <f t="array" ref="AX46">INDEX($AW$1:$AW$100,INT((ROW(A46)-1)/3)+1)</f>
        <v>0</v>
      </c>
      <c r="AY46" s="1" t="str" cm="1">
        <f t="array" ref="AY46">INDEX({"OR","RRR","ME"},MOD(ROW(AI46)-1,3)+1)</f>
        <v>OR</v>
      </c>
      <c r="BA46" s="1"/>
      <c r="BB46" s="6"/>
    </row>
    <row r="47" spans="1:54">
      <c r="R47" s="205"/>
      <c r="S47" s="202"/>
      <c r="T47" s="202"/>
      <c r="U47" s="202"/>
      <c r="V47" s="202"/>
      <c r="W47" s="207"/>
      <c r="X47" s="207"/>
      <c r="Y47" s="207"/>
      <c r="Z47" s="207"/>
      <c r="AA47" s="205"/>
      <c r="AB47" s="202"/>
      <c r="AC47" s="208"/>
      <c r="AD47" s="202"/>
      <c r="AE47" s="202"/>
      <c r="AF47" s="202"/>
      <c r="AG47" s="202"/>
      <c r="AH47" s="202"/>
      <c r="AW47" s="1"/>
      <c r="AX47" s="1" cm="1">
        <f t="array" ref="AX47">INDEX($AW$1:$AW$100,INT((ROW(A47)-1)/3)+1)</f>
        <v>0</v>
      </c>
      <c r="AY47" s="1" t="str" cm="1">
        <f t="array" ref="AY47">INDEX({"OR","RRR","ME"},MOD(ROW(AI47)-1,3)+1)</f>
        <v>RRR</v>
      </c>
      <c r="BA47" s="1"/>
      <c r="BB47" s="6"/>
    </row>
    <row r="48" spans="1:54">
      <c r="R48" s="205"/>
      <c r="S48" s="202"/>
      <c r="T48" s="202"/>
      <c r="U48" s="202"/>
      <c r="V48" s="202"/>
      <c r="W48" s="207"/>
      <c r="X48" s="207"/>
      <c r="Y48" s="207"/>
      <c r="Z48" s="207"/>
      <c r="AA48" s="205"/>
      <c r="AB48" s="202"/>
      <c r="AC48" s="208"/>
      <c r="AD48" s="202"/>
      <c r="AE48" s="202"/>
      <c r="AF48" s="202"/>
      <c r="AG48" s="202"/>
      <c r="AH48" s="202"/>
      <c r="AW48" s="1"/>
      <c r="AX48" s="1" cm="1">
        <f t="array" ref="AX48">INDEX($AW$1:$AW$100,INT((ROW(A48)-1)/3)+1)</f>
        <v>0</v>
      </c>
      <c r="AY48" s="1" t="str" cm="1">
        <f t="array" ref="AY48">INDEX({"OR","RRR","ME"},MOD(ROW(AI48)-1,3)+1)</f>
        <v>ME</v>
      </c>
      <c r="BA48" s="1"/>
      <c r="BB48" s="6"/>
    </row>
    <row r="49" spans="18:54">
      <c r="R49" s="205"/>
      <c r="S49" s="202"/>
      <c r="T49" s="202"/>
      <c r="U49" s="202"/>
      <c r="V49" s="202"/>
      <c r="W49" s="207"/>
      <c r="X49" s="207"/>
      <c r="Y49" s="207"/>
      <c r="Z49" s="207"/>
      <c r="AA49" s="205"/>
      <c r="AB49" s="202"/>
      <c r="AC49" s="208"/>
      <c r="AD49" s="202"/>
      <c r="AE49" s="202"/>
      <c r="AF49" s="202"/>
      <c r="AG49" s="202"/>
      <c r="AH49" s="202"/>
      <c r="AW49" s="1"/>
      <c r="AX49" s="1" cm="1">
        <f t="array" ref="AX49">INDEX($AW$1:$AW$100,INT((ROW(A49)-1)/3)+1)</f>
        <v>0</v>
      </c>
      <c r="AY49" s="1" t="str" cm="1">
        <f t="array" ref="AY49">INDEX({"OR","RRR","ME"},MOD(ROW(AI49)-1,3)+1)</f>
        <v>OR</v>
      </c>
      <c r="BA49" s="1"/>
      <c r="BB49" s="6"/>
    </row>
    <row r="50" spans="18:54">
      <c r="R50" s="205"/>
      <c r="S50" s="202"/>
      <c r="T50" s="202"/>
      <c r="U50" s="202"/>
      <c r="V50" s="202"/>
      <c r="W50" s="207"/>
      <c r="X50" s="207"/>
      <c r="Y50" s="207"/>
      <c r="Z50" s="207"/>
      <c r="AA50" s="205"/>
      <c r="AB50" s="202"/>
      <c r="AC50" s="208"/>
      <c r="AD50" s="202"/>
      <c r="AE50" s="202"/>
      <c r="AF50" s="202"/>
      <c r="AG50" s="202"/>
      <c r="AH50" s="202"/>
      <c r="AW50" s="1"/>
      <c r="AX50" s="1" cm="1">
        <f t="array" ref="AX50">INDEX($AW$1:$AW$100,INT((ROW(A50)-1)/3)+1)</f>
        <v>0</v>
      </c>
      <c r="AY50" s="1" t="str" cm="1">
        <f t="array" ref="AY50">INDEX({"OR","RRR","ME"},MOD(ROW(AI50)-1,3)+1)</f>
        <v>RRR</v>
      </c>
      <c r="BA50" s="1"/>
      <c r="BB50" s="6"/>
    </row>
    <row r="51" spans="18:54">
      <c r="R51" s="205"/>
      <c r="S51" s="202"/>
      <c r="T51" s="202"/>
      <c r="U51" s="202"/>
      <c r="V51" s="202"/>
      <c r="W51" s="207"/>
      <c r="X51" s="207"/>
      <c r="Y51" s="207"/>
      <c r="Z51" s="207"/>
      <c r="AA51" s="205"/>
      <c r="AB51" s="202"/>
      <c r="AC51" s="208"/>
      <c r="AD51" s="202"/>
      <c r="AE51" s="202"/>
      <c r="AF51" s="202"/>
      <c r="AG51" s="202"/>
      <c r="AH51" s="202"/>
      <c r="AW51" s="1"/>
      <c r="AX51" s="1" cm="1">
        <f t="array" ref="AX51">INDEX($AW$1:$AW$100,INT((ROW(A51)-1)/3)+1)</f>
        <v>0</v>
      </c>
      <c r="AY51" s="1" t="str" cm="1">
        <f t="array" ref="AY51">INDEX({"OR","RRR","ME"},MOD(ROW(AI51)-1,3)+1)</f>
        <v>ME</v>
      </c>
      <c r="BA51" s="1"/>
      <c r="BB51" s="6"/>
    </row>
    <row r="52" spans="18:54">
      <c r="R52" s="205"/>
      <c r="S52" s="202"/>
      <c r="T52" s="202"/>
      <c r="U52" s="202"/>
      <c r="V52" s="202"/>
      <c r="W52" s="207"/>
      <c r="X52" s="207"/>
      <c r="Y52" s="207"/>
      <c r="Z52" s="207"/>
      <c r="AA52" s="205"/>
      <c r="AB52" s="202"/>
      <c r="AC52" s="208"/>
      <c r="AD52" s="202"/>
      <c r="AE52" s="202"/>
      <c r="AF52" s="202"/>
      <c r="AG52" s="202"/>
      <c r="AH52" s="202"/>
      <c r="AW52" s="1"/>
      <c r="AX52" s="1" cm="1">
        <f t="array" ref="AX52">INDEX($AW$1:$AW$100,INT((ROW(A52)-1)/3)+1)</f>
        <v>0</v>
      </c>
      <c r="AY52" s="1" t="str" cm="1">
        <f t="array" ref="AY52">INDEX({"OR","RRR","ME"},MOD(ROW(AI52)-1,3)+1)</f>
        <v>OR</v>
      </c>
      <c r="BA52" s="1"/>
      <c r="BB52" s="6"/>
    </row>
    <row r="53" spans="18:54">
      <c r="R53" s="205"/>
      <c r="S53" s="202"/>
      <c r="T53" s="202"/>
      <c r="U53" s="202"/>
      <c r="V53" s="202"/>
      <c r="W53" s="207"/>
      <c r="X53" s="207"/>
      <c r="Y53" s="207"/>
      <c r="Z53" s="207"/>
      <c r="AA53" s="205"/>
      <c r="AB53" s="202"/>
      <c r="AC53" s="208"/>
      <c r="AD53" s="202"/>
      <c r="AE53" s="202"/>
      <c r="AF53" s="202"/>
      <c r="AG53" s="202"/>
      <c r="AH53" s="202"/>
      <c r="AW53" s="1"/>
      <c r="AX53" s="1" cm="1">
        <f t="array" ref="AX53">INDEX($AW$1:$AW$100,INT((ROW(A53)-1)/3)+1)</f>
        <v>0</v>
      </c>
      <c r="AY53" s="1" t="str" cm="1">
        <f t="array" ref="AY53">INDEX({"OR","RRR","ME"},MOD(ROW(AI53)-1,3)+1)</f>
        <v>RRR</v>
      </c>
      <c r="BA53" s="1"/>
      <c r="BB53" s="6"/>
    </row>
    <row r="54" spans="18:54">
      <c r="R54" s="205"/>
      <c r="S54" s="202"/>
      <c r="T54" s="202"/>
      <c r="U54" s="202"/>
      <c r="V54" s="202"/>
      <c r="W54" s="207"/>
      <c r="X54" s="207"/>
      <c r="Y54" s="207"/>
      <c r="Z54" s="207"/>
      <c r="AA54" s="205"/>
      <c r="AB54" s="202"/>
      <c r="AC54" s="208"/>
      <c r="AD54" s="202"/>
      <c r="AE54" s="202"/>
      <c r="AF54" s="202"/>
      <c r="AG54" s="202"/>
      <c r="AH54" s="202"/>
      <c r="AW54" s="1"/>
      <c r="AX54" s="1" cm="1">
        <f t="array" ref="AX54">INDEX($AW$1:$AW$100,INT((ROW(A54)-1)/3)+1)</f>
        <v>0</v>
      </c>
      <c r="AY54" s="1" t="str" cm="1">
        <f t="array" ref="AY54">INDEX({"OR","RRR","ME"},MOD(ROW(AI54)-1,3)+1)</f>
        <v>ME</v>
      </c>
      <c r="BA54" s="1"/>
      <c r="BB54" s="6"/>
    </row>
    <row r="55" spans="18:54">
      <c r="R55" s="205"/>
      <c r="S55" s="202"/>
      <c r="T55" s="202"/>
      <c r="U55" s="202"/>
      <c r="V55" s="202"/>
      <c r="W55" s="207"/>
      <c r="X55" s="207"/>
      <c r="Y55" s="207"/>
      <c r="Z55" s="207"/>
      <c r="AA55" s="205"/>
      <c r="AB55" s="202"/>
      <c r="AC55" s="208"/>
      <c r="AD55" s="202"/>
      <c r="AE55" s="202"/>
      <c r="AF55" s="202"/>
      <c r="AG55" s="202"/>
      <c r="AH55" s="202"/>
      <c r="AW55" s="1"/>
      <c r="AX55" s="1" cm="1">
        <f t="array" ref="AX55">INDEX($AW$1:$AW$100,INT((ROW(A55)-1)/3)+1)</f>
        <v>0</v>
      </c>
      <c r="AY55" s="1" t="str" cm="1">
        <f t="array" ref="AY55">INDEX({"OR","RRR","ME"},MOD(ROW(AI55)-1,3)+1)</f>
        <v>OR</v>
      </c>
      <c r="BA55" s="1"/>
      <c r="BB55" s="6"/>
    </row>
    <row r="56" spans="18:54">
      <c r="R56" s="205"/>
      <c r="S56" s="202"/>
      <c r="T56" s="202"/>
      <c r="U56" s="202"/>
      <c r="V56" s="202"/>
      <c r="W56" s="207"/>
      <c r="X56" s="207"/>
      <c r="Y56" s="207"/>
      <c r="Z56" s="207"/>
      <c r="AA56" s="205"/>
      <c r="AB56" s="202"/>
      <c r="AC56" s="208"/>
      <c r="AD56" s="202"/>
      <c r="AE56" s="202"/>
      <c r="AF56" s="202"/>
      <c r="AG56" s="202"/>
      <c r="AH56" s="202"/>
      <c r="AW56" s="1"/>
      <c r="AX56" s="1" cm="1">
        <f t="array" ref="AX56">INDEX($AW$1:$AW$100,INT((ROW(A56)-1)/3)+1)</f>
        <v>0</v>
      </c>
      <c r="AY56" s="1" t="str" cm="1">
        <f t="array" ref="AY56">INDEX({"OR","RRR","ME"},MOD(ROW(AI56)-1,3)+1)</f>
        <v>RRR</v>
      </c>
      <c r="BA56" s="1"/>
      <c r="BB56" s="6"/>
    </row>
    <row r="57" spans="18:54">
      <c r="R57" s="205"/>
      <c r="S57" s="202"/>
      <c r="T57" s="202"/>
      <c r="U57" s="202"/>
      <c r="V57" s="202"/>
      <c r="W57" s="207"/>
      <c r="X57" s="207"/>
      <c r="Y57" s="207"/>
      <c r="Z57" s="207"/>
      <c r="AA57" s="205"/>
      <c r="AB57" s="202"/>
      <c r="AC57" s="208"/>
      <c r="AD57" s="202"/>
      <c r="AE57" s="202"/>
      <c r="AF57" s="202"/>
      <c r="AG57" s="202"/>
      <c r="AH57" s="202"/>
      <c r="AW57" s="1"/>
      <c r="AX57" s="1" cm="1">
        <f t="array" ref="AX57">INDEX($AW$1:$AW$100,INT((ROW(A57)-1)/3)+1)</f>
        <v>0</v>
      </c>
      <c r="AY57" s="1" t="str" cm="1">
        <f t="array" ref="AY57">INDEX({"OR","RRR","ME"},MOD(ROW(AI57)-1,3)+1)</f>
        <v>ME</v>
      </c>
      <c r="BA57" s="1"/>
      <c r="BB57" s="6"/>
    </row>
    <row r="58" spans="18:54">
      <c r="R58" s="205"/>
      <c r="S58" s="202"/>
      <c r="T58" s="202"/>
      <c r="U58" s="202"/>
      <c r="V58" s="202"/>
      <c r="W58" s="207"/>
      <c r="X58" s="207"/>
      <c r="Y58" s="207"/>
      <c r="Z58" s="207"/>
      <c r="AA58" s="205"/>
      <c r="AB58" s="202"/>
      <c r="AC58" s="208"/>
      <c r="AD58" s="202"/>
      <c r="AE58" s="202"/>
      <c r="AF58" s="202"/>
      <c r="AG58" s="202"/>
      <c r="AH58" s="202"/>
      <c r="AW58" s="1"/>
      <c r="AX58" s="1" cm="1">
        <f t="array" ref="AX58">INDEX($AW$1:$AW$100,INT((ROW(A58)-1)/3)+1)</f>
        <v>0</v>
      </c>
      <c r="AY58" s="1" t="str" cm="1">
        <f t="array" ref="AY58">INDEX({"OR","RRR","ME"},MOD(ROW(AI58)-1,3)+1)</f>
        <v>OR</v>
      </c>
      <c r="BA58" s="1"/>
      <c r="BB58" s="6"/>
    </row>
    <row r="59" spans="18:54">
      <c r="R59" s="205"/>
      <c r="S59" s="202"/>
      <c r="T59" s="202"/>
      <c r="U59" s="202"/>
      <c r="V59" s="202"/>
      <c r="W59" s="207"/>
      <c r="X59" s="207"/>
      <c r="Y59" s="207"/>
      <c r="Z59" s="207"/>
      <c r="AA59" s="205"/>
      <c r="AB59" s="202"/>
      <c r="AC59" s="208"/>
      <c r="AD59" s="202"/>
      <c r="AE59" s="202"/>
      <c r="AF59" s="202"/>
      <c r="AG59" s="202"/>
      <c r="AH59" s="202"/>
      <c r="AW59" s="1"/>
      <c r="AX59" s="1" cm="1">
        <f t="array" ref="AX59">INDEX($AW$1:$AW$100,INT((ROW(A59)-1)/3)+1)</f>
        <v>0</v>
      </c>
      <c r="AY59" s="1" t="str" cm="1">
        <f t="array" ref="AY59">INDEX({"OR","RRR","ME"},MOD(ROW(AI59)-1,3)+1)</f>
        <v>RRR</v>
      </c>
      <c r="BA59" s="1"/>
      <c r="BB59" s="6"/>
    </row>
    <row r="60" spans="18:54">
      <c r="R60" s="205"/>
      <c r="S60" s="202"/>
      <c r="T60" s="202"/>
      <c r="U60" s="202"/>
      <c r="V60" s="202"/>
      <c r="W60" s="207"/>
      <c r="X60" s="207"/>
      <c r="Y60" s="207"/>
      <c r="Z60" s="207"/>
      <c r="AA60" s="205"/>
      <c r="AB60" s="202"/>
      <c r="AC60" s="208"/>
      <c r="AD60" s="202"/>
      <c r="AE60" s="202"/>
      <c r="AF60" s="202"/>
      <c r="AG60" s="202"/>
      <c r="AH60" s="202"/>
      <c r="AW60" s="1"/>
      <c r="AX60" s="1" cm="1">
        <f t="array" ref="AX60">INDEX($AW$1:$AW$100,INT((ROW(A60)-1)/3)+1)</f>
        <v>0</v>
      </c>
      <c r="AY60" s="1" t="str" cm="1">
        <f t="array" ref="AY60">INDEX({"OR","RRR","ME"},MOD(ROW(AI60)-1,3)+1)</f>
        <v>ME</v>
      </c>
      <c r="BA60" s="1"/>
      <c r="BB60" s="6"/>
    </row>
    <row r="61" spans="18:54">
      <c r="R61" s="205"/>
      <c r="S61" s="202"/>
      <c r="T61" s="202"/>
      <c r="U61" s="202"/>
      <c r="V61" s="202"/>
      <c r="W61" s="207"/>
      <c r="X61" s="207"/>
      <c r="Y61" s="207"/>
      <c r="Z61" s="207"/>
      <c r="AA61" s="205"/>
      <c r="AB61" s="202"/>
      <c r="AC61" s="208"/>
      <c r="AD61" s="202"/>
      <c r="AE61" s="202"/>
      <c r="AF61" s="202"/>
      <c r="AG61" s="202"/>
      <c r="AH61" s="202"/>
      <c r="AW61" s="1"/>
      <c r="AX61" s="1" cm="1">
        <f t="array" ref="AX61">INDEX($AW$1:$AW$100,INT((ROW(A61)-1)/3)+1)</f>
        <v>0</v>
      </c>
      <c r="AY61" s="1" t="str" cm="1">
        <f t="array" ref="AY61">INDEX({"OR","RRR","ME"},MOD(ROW(AI61)-1,3)+1)</f>
        <v>OR</v>
      </c>
      <c r="BA61" s="1"/>
      <c r="BB61" s="6"/>
    </row>
    <row r="62" spans="18:54">
      <c r="R62" s="205"/>
      <c r="S62" s="202"/>
      <c r="T62" s="202"/>
      <c r="U62" s="202"/>
      <c r="V62" s="202"/>
      <c r="W62" s="207"/>
      <c r="X62" s="207"/>
      <c r="Y62" s="207"/>
      <c r="Z62" s="207"/>
      <c r="AA62" s="205"/>
      <c r="AB62" s="202"/>
      <c r="AC62" s="208"/>
      <c r="AD62" s="202"/>
      <c r="AE62" s="202"/>
      <c r="AF62" s="202"/>
      <c r="AG62" s="202"/>
      <c r="AH62" s="202"/>
      <c r="AW62" s="1"/>
      <c r="AX62" s="1" cm="1">
        <f t="array" ref="AX62">INDEX($AW$1:$AW$100,INT((ROW(A62)-1)/3)+1)</f>
        <v>0</v>
      </c>
      <c r="AY62" s="1" t="str" cm="1">
        <f t="array" ref="AY62">INDEX({"OR","RRR","ME"},MOD(ROW(AI62)-1,3)+1)</f>
        <v>RRR</v>
      </c>
      <c r="BA62" s="1"/>
      <c r="BB62" s="6"/>
    </row>
    <row r="63" spans="18:54">
      <c r="R63" s="205"/>
      <c r="S63" s="202"/>
      <c r="T63" s="202"/>
      <c r="U63" s="202"/>
      <c r="V63" s="202"/>
      <c r="W63" s="207"/>
      <c r="X63" s="207"/>
      <c r="Y63" s="207"/>
      <c r="Z63" s="207"/>
      <c r="AA63" s="205"/>
      <c r="AB63" s="202"/>
      <c r="AC63" s="208"/>
      <c r="AD63" s="202"/>
      <c r="AE63" s="202"/>
      <c r="AF63" s="202"/>
      <c r="AG63" s="202"/>
      <c r="AH63" s="202"/>
      <c r="AW63" s="1"/>
      <c r="AX63" s="1" cm="1">
        <f t="array" ref="AX63">INDEX($AW$1:$AW$100,INT((ROW(A63)-1)/3)+1)</f>
        <v>0</v>
      </c>
      <c r="AY63" s="1" t="str" cm="1">
        <f t="array" ref="AY63">INDEX({"OR","RRR","ME"},MOD(ROW(AI63)-1,3)+1)</f>
        <v>ME</v>
      </c>
      <c r="BA63" s="1"/>
      <c r="BB63" s="6"/>
    </row>
    <row r="64" spans="18:54">
      <c r="R64" s="205"/>
      <c r="S64" s="202"/>
      <c r="T64" s="202"/>
      <c r="U64" s="202"/>
      <c r="V64" s="202"/>
      <c r="W64" s="207"/>
      <c r="X64" s="207"/>
      <c r="Y64" s="207"/>
      <c r="Z64" s="207"/>
      <c r="AA64" s="205"/>
      <c r="AB64" s="202"/>
      <c r="AC64" s="208"/>
      <c r="AD64" s="202"/>
      <c r="AE64" s="202"/>
      <c r="AF64" s="202"/>
      <c r="AG64" s="202"/>
      <c r="AH64" s="202"/>
      <c r="AW64" s="1"/>
      <c r="AX64" s="1" cm="1">
        <f t="array" ref="AX64">INDEX($AW$1:$AW$100,INT((ROW(A64)-1)/3)+1)</f>
        <v>0</v>
      </c>
      <c r="AY64" s="1" t="str" cm="1">
        <f t="array" ref="AY64">INDEX({"OR","RRR","ME"},MOD(ROW(AI64)-1,3)+1)</f>
        <v>OR</v>
      </c>
      <c r="BA64" s="1"/>
      <c r="BB64" s="6"/>
    </row>
    <row r="65" spans="18:54">
      <c r="R65" s="205"/>
      <c r="S65" s="202"/>
      <c r="T65" s="202"/>
      <c r="U65" s="202"/>
      <c r="V65" s="202"/>
      <c r="W65" s="207"/>
      <c r="X65" s="207"/>
      <c r="Y65" s="207"/>
      <c r="Z65" s="207"/>
      <c r="AA65" s="205"/>
      <c r="AB65" s="202"/>
      <c r="AC65" s="208"/>
      <c r="AD65" s="202"/>
      <c r="AE65" s="202"/>
      <c r="AF65" s="202"/>
      <c r="AG65" s="202"/>
      <c r="AH65" s="202"/>
      <c r="AW65" s="1"/>
      <c r="AX65" s="1" cm="1">
        <f t="array" ref="AX65">INDEX($AW$1:$AW$100,INT((ROW(A65)-1)/3)+1)</f>
        <v>0</v>
      </c>
      <c r="AY65" s="1" t="str" cm="1">
        <f t="array" ref="AY65">INDEX({"OR","RRR","ME"},MOD(ROW(AI65)-1,3)+1)</f>
        <v>RRR</v>
      </c>
      <c r="BA65" s="1"/>
      <c r="BB65" s="6"/>
    </row>
    <row r="66" spans="18:54">
      <c r="R66" s="205"/>
      <c r="S66" s="202"/>
      <c r="T66" s="202"/>
      <c r="U66" s="202"/>
      <c r="V66" s="202"/>
      <c r="W66" s="207"/>
      <c r="X66" s="207"/>
      <c r="Y66" s="207"/>
      <c r="Z66" s="207"/>
      <c r="AA66" s="205"/>
      <c r="AB66" s="202"/>
      <c r="AC66" s="208"/>
      <c r="AD66" s="202"/>
      <c r="AE66" s="202"/>
      <c r="AF66" s="202"/>
      <c r="AG66" s="202"/>
      <c r="AH66" s="202"/>
      <c r="AW66" s="1"/>
      <c r="AX66" s="1" cm="1">
        <f t="array" ref="AX66">INDEX($AW$1:$AW$100,INT((ROW(A66)-1)/3)+1)</f>
        <v>0</v>
      </c>
      <c r="AY66" s="1" t="str" cm="1">
        <f t="array" ref="AY66">INDEX({"OR","RRR","ME"},MOD(ROW(AI66)-1,3)+1)</f>
        <v>ME</v>
      </c>
      <c r="BA66" s="1"/>
      <c r="BB66" s="6"/>
    </row>
    <row r="67" spans="18:54">
      <c r="R67" s="205"/>
      <c r="S67" s="202"/>
      <c r="T67" s="202"/>
      <c r="U67" s="202"/>
      <c r="V67" s="202"/>
      <c r="W67" s="207"/>
      <c r="X67" s="207"/>
      <c r="Y67" s="207"/>
      <c r="Z67" s="207"/>
      <c r="AA67" s="205"/>
      <c r="AB67" s="202"/>
      <c r="AC67" s="208"/>
      <c r="AD67" s="202"/>
      <c r="AE67" s="202"/>
      <c r="AF67" s="202"/>
      <c r="AG67" s="202"/>
      <c r="AH67" s="202"/>
      <c r="AW67" s="1"/>
      <c r="AX67" s="1" cm="1">
        <f t="array" ref="AX67">INDEX($AW$1:$AW$100,INT((ROW(A67)-1)/3)+1)</f>
        <v>0</v>
      </c>
      <c r="AY67" s="1" t="str" cm="1">
        <f t="array" ref="AY67">INDEX({"OR","RRR","ME"},MOD(ROW(AI67)-1,3)+1)</f>
        <v>OR</v>
      </c>
      <c r="BA67" s="1"/>
      <c r="BB67" s="6"/>
    </row>
    <row r="68" spans="18:54">
      <c r="R68" s="205"/>
      <c r="S68" s="202"/>
      <c r="T68" s="202"/>
      <c r="U68" s="202"/>
      <c r="V68" s="202"/>
      <c r="W68" s="207"/>
      <c r="X68" s="207"/>
      <c r="Y68" s="207"/>
      <c r="Z68" s="207"/>
      <c r="AA68" s="205"/>
      <c r="AB68" s="202"/>
      <c r="AC68" s="208"/>
      <c r="AD68" s="202"/>
      <c r="AE68" s="202"/>
      <c r="AF68" s="202"/>
      <c r="AG68" s="202"/>
      <c r="AH68" s="202"/>
      <c r="AW68" s="1"/>
      <c r="AX68" s="1" cm="1">
        <f t="array" ref="AX68">INDEX($AW$1:$AW$100,INT((ROW(A68)-1)/3)+1)</f>
        <v>0</v>
      </c>
      <c r="AY68" s="1" t="str" cm="1">
        <f t="array" ref="AY68">INDEX({"OR","RRR","ME"},MOD(ROW(AI68)-1,3)+1)</f>
        <v>RRR</v>
      </c>
      <c r="BA68" s="1"/>
      <c r="BB68" s="6"/>
    </row>
    <row r="69" spans="18:54">
      <c r="R69" s="205"/>
      <c r="S69" s="202"/>
      <c r="T69" s="202"/>
      <c r="U69" s="202"/>
      <c r="V69" s="202"/>
      <c r="W69" s="207"/>
      <c r="X69" s="207"/>
      <c r="Y69" s="207"/>
      <c r="Z69" s="207"/>
      <c r="AA69" s="205"/>
      <c r="AB69" s="202"/>
      <c r="AC69" s="208"/>
      <c r="AD69" s="202"/>
      <c r="AE69" s="202"/>
      <c r="AF69" s="202"/>
      <c r="AG69" s="202"/>
      <c r="AH69" s="202"/>
      <c r="AW69" s="1"/>
      <c r="AX69" s="1" cm="1">
        <f t="array" ref="AX69">INDEX($AW$1:$AW$100,INT((ROW(A69)-1)/3)+1)</f>
        <v>0</v>
      </c>
      <c r="AY69" s="1" t="str" cm="1">
        <f t="array" ref="AY69">INDEX({"OR","RRR","ME"},MOD(ROW(AI69)-1,3)+1)</f>
        <v>ME</v>
      </c>
      <c r="BA69" s="1"/>
      <c r="BB69" s="6"/>
    </row>
    <row r="70" spans="18:54">
      <c r="R70" s="205"/>
      <c r="S70" s="202"/>
      <c r="T70" s="202"/>
      <c r="U70" s="202"/>
      <c r="V70" s="202"/>
      <c r="W70" s="207"/>
      <c r="X70" s="207"/>
      <c r="Y70" s="207"/>
      <c r="Z70" s="207"/>
      <c r="AA70" s="205"/>
      <c r="AB70" s="202"/>
      <c r="AC70" s="208"/>
      <c r="AD70" s="202"/>
      <c r="AE70" s="202"/>
      <c r="AF70" s="202"/>
      <c r="AG70" s="202"/>
      <c r="AH70" s="202"/>
      <c r="AW70" s="1"/>
      <c r="AX70" s="1" cm="1">
        <f t="array" ref="AX70">INDEX($AW$1:$AW$100,INT((ROW(A70)-1)/3)+1)</f>
        <v>0</v>
      </c>
      <c r="AY70" s="1"/>
    </row>
    <row r="71" spans="18:54">
      <c r="R71" s="205"/>
      <c r="S71" s="202"/>
      <c r="T71" s="202"/>
      <c r="U71" s="202"/>
      <c r="V71" s="202"/>
      <c r="W71" s="207"/>
      <c r="X71" s="207"/>
      <c r="Y71" s="207"/>
      <c r="Z71" s="207"/>
      <c r="AA71" s="205"/>
      <c r="AB71" s="202"/>
      <c r="AC71" s="208"/>
      <c r="AD71" s="202"/>
      <c r="AE71" s="202"/>
      <c r="AF71" s="202"/>
      <c r="AG71" s="202"/>
      <c r="AH71" s="202"/>
      <c r="AW71" s="1"/>
      <c r="AX71" s="1" cm="1">
        <f t="array" ref="AX71">INDEX($AW$1:$AW$100,INT((ROW(A71)-1)/3)+1)</f>
        <v>0</v>
      </c>
      <c r="AY71" s="1"/>
    </row>
    <row r="72" spans="18:54">
      <c r="R72" s="205"/>
      <c r="S72" s="202"/>
      <c r="T72" s="202"/>
      <c r="U72" s="202"/>
      <c r="V72" s="202"/>
      <c r="W72" s="207"/>
      <c r="X72" s="207"/>
      <c r="Y72" s="207"/>
      <c r="Z72" s="207"/>
      <c r="AA72" s="205"/>
      <c r="AB72" s="202"/>
      <c r="AC72" s="208"/>
      <c r="AD72" s="202"/>
      <c r="AE72" s="202"/>
      <c r="AF72" s="202"/>
      <c r="AG72" s="202"/>
      <c r="AH72" s="202"/>
      <c r="AW72" s="1"/>
      <c r="AX72" s="1" cm="1">
        <f t="array" ref="AX72">INDEX($AW$1:$AW$100,INT((ROW(A72)-1)/3)+1)</f>
        <v>0</v>
      </c>
      <c r="AY72" s="1"/>
    </row>
    <row r="73" spans="18:54">
      <c r="R73" s="205"/>
      <c r="S73" s="202"/>
      <c r="T73" s="202"/>
      <c r="U73" s="202"/>
      <c r="V73" s="202"/>
      <c r="W73" s="207"/>
      <c r="X73" s="207"/>
      <c r="Y73" s="207"/>
      <c r="Z73" s="207"/>
      <c r="AA73" s="205"/>
      <c r="AB73" s="202"/>
      <c r="AC73" s="208"/>
      <c r="AD73" s="202"/>
      <c r="AE73" s="202"/>
      <c r="AF73" s="202"/>
      <c r="AG73" s="202"/>
      <c r="AH73" s="202"/>
      <c r="AW73" s="1"/>
      <c r="AX73" s="1" cm="1">
        <f t="array" ref="AX73">INDEX($AW$1:$AW$100,INT((ROW(A73)-1)/3)+1)</f>
        <v>0</v>
      </c>
      <c r="AY73" s="1"/>
    </row>
    <row r="74" spans="18:54">
      <c r="R74" s="205"/>
      <c r="S74" s="202"/>
      <c r="T74" s="202"/>
      <c r="U74" s="202"/>
      <c r="V74" s="202"/>
      <c r="W74" s="207"/>
      <c r="X74" s="207"/>
      <c r="Y74" s="207"/>
      <c r="Z74" s="207"/>
      <c r="AA74" s="205"/>
      <c r="AB74" s="202"/>
      <c r="AC74" s="208"/>
      <c r="AD74" s="202"/>
      <c r="AE74" s="202"/>
      <c r="AF74" s="202"/>
      <c r="AG74" s="202"/>
      <c r="AH74" s="202"/>
      <c r="AW74" s="1"/>
      <c r="AX74" s="1" cm="1">
        <f t="array" ref="AX74">INDEX($AW$1:$AW$100,INT((ROW(A74)-1)/3)+1)</f>
        <v>0</v>
      </c>
      <c r="AY74" s="1"/>
    </row>
    <row r="75" spans="18:54">
      <c r="R75" s="205"/>
      <c r="S75" s="202"/>
      <c r="T75" s="202"/>
      <c r="U75" s="202"/>
      <c r="V75" s="202"/>
      <c r="W75" s="207"/>
      <c r="X75" s="207"/>
      <c r="Y75" s="207"/>
      <c r="Z75" s="207"/>
      <c r="AA75" s="205"/>
      <c r="AB75" s="202"/>
      <c r="AC75" s="208"/>
      <c r="AD75" s="202"/>
      <c r="AE75" s="202"/>
      <c r="AF75" s="202"/>
      <c r="AG75" s="202"/>
      <c r="AH75" s="202"/>
      <c r="AW75" s="1"/>
      <c r="AX75" s="1" cm="1">
        <f t="array" ref="AX75">INDEX($AW$1:$AW$100,INT((ROW(A75)-1)/3)+1)</f>
        <v>0</v>
      </c>
      <c r="AY75" s="1"/>
    </row>
    <row r="76" spans="18:54">
      <c r="R76" s="205"/>
      <c r="S76" s="202"/>
      <c r="T76" s="202"/>
      <c r="U76" s="202"/>
      <c r="V76" s="202"/>
      <c r="W76" s="207"/>
      <c r="X76" s="207"/>
      <c r="Y76" s="207"/>
      <c r="Z76" s="207"/>
      <c r="AA76" s="205"/>
      <c r="AB76" s="202"/>
      <c r="AC76" s="208"/>
      <c r="AD76" s="202"/>
      <c r="AE76" s="202"/>
      <c r="AF76" s="202"/>
      <c r="AG76" s="202"/>
      <c r="AH76" s="202"/>
      <c r="AW76" s="1"/>
      <c r="AX76" s="1" cm="1">
        <f t="array" ref="AX76">INDEX($AW$1:$AW$100,INT((ROW(A76)-1)/3)+1)</f>
        <v>0</v>
      </c>
      <c r="AY76" s="1"/>
    </row>
    <row r="77" spans="18:54">
      <c r="R77" s="205"/>
      <c r="S77" s="202"/>
      <c r="T77" s="202"/>
      <c r="U77" s="202"/>
      <c r="V77" s="202"/>
      <c r="W77" s="207"/>
      <c r="X77" s="207"/>
      <c r="Y77" s="207"/>
      <c r="Z77" s="207"/>
      <c r="AA77" s="205"/>
      <c r="AB77" s="202"/>
      <c r="AC77" s="208"/>
      <c r="AD77" s="202"/>
      <c r="AE77" s="202"/>
      <c r="AF77" s="202"/>
      <c r="AG77" s="202"/>
      <c r="AH77" s="202"/>
      <c r="AW77" s="1"/>
      <c r="AX77" s="1" cm="1">
        <f t="array" ref="AX77">INDEX($AW$1:$AW$100,INT((ROW(A77)-1)/3)+1)</f>
        <v>0</v>
      </c>
      <c r="AY77" s="1"/>
    </row>
    <row r="78" spans="18:54">
      <c r="R78" s="205"/>
      <c r="S78" s="202"/>
      <c r="T78" s="202"/>
      <c r="U78" s="202"/>
      <c r="V78" s="202"/>
      <c r="W78" s="207"/>
      <c r="X78" s="207"/>
      <c r="Y78" s="207"/>
      <c r="Z78" s="207"/>
      <c r="AA78" s="205"/>
      <c r="AB78" s="202"/>
      <c r="AC78" s="208"/>
      <c r="AD78" s="202"/>
      <c r="AE78" s="202"/>
      <c r="AF78" s="202"/>
      <c r="AG78" s="202"/>
      <c r="AH78" s="202"/>
      <c r="AW78" s="1"/>
      <c r="AX78" s="1" cm="1">
        <f t="array" ref="AX78">INDEX($AW$1:$AW$100,INT((ROW(A78)-1)/3)+1)</f>
        <v>0</v>
      </c>
      <c r="AY78" s="1"/>
    </row>
    <row r="79" spans="18:54">
      <c r="AW79" s="1"/>
      <c r="AX79" s="1" cm="1">
        <f t="array" ref="AX79">INDEX($AW$1:$AW$100,INT((ROW(A79)-1)/3)+1)</f>
        <v>0</v>
      </c>
      <c r="AY79" s="1"/>
    </row>
  </sheetData>
  <autoFilter ref="AK1:AQ21" xr:uid="{3FDED38A-8D5B-41CD-8FFB-AE40ED170584}"/>
  <sortState xmlns:xlrd2="http://schemas.microsoft.com/office/spreadsheetml/2017/richdata2" ref="A2:L37">
    <sortCondition ref="A2:A37"/>
    <sortCondition ref="C2:C37"/>
    <sortCondition ref="J2:J37"/>
    <sortCondition ref="E2:E37"/>
  </sortState>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FC3DA-220F-4EE6-9229-A97632C3C824}">
  <sheetPr codeName="Sheet9"/>
  <dimension ref="A1:AZ94"/>
  <sheetViews>
    <sheetView topLeftCell="AF10" workbookViewId="0">
      <selection activeCell="D41" sqref="D41"/>
    </sheetView>
  </sheetViews>
  <sheetFormatPr defaultRowHeight="15"/>
  <cols>
    <col min="1" max="1" width="24.28515625" customWidth="1"/>
    <col min="2" max="2" width="25.7109375" customWidth="1"/>
    <col min="3" max="3" width="27" customWidth="1"/>
    <col min="5" max="5" width="16.7109375" bestFit="1" customWidth="1"/>
    <col min="8" max="8" width="10.5703125" bestFit="1" customWidth="1"/>
    <col min="10" max="10" width="12.7109375" customWidth="1"/>
    <col min="11" max="11" width="14.5703125" customWidth="1"/>
    <col min="12" max="12" width="11.42578125" customWidth="1"/>
    <col min="15" max="15" width="11.28515625" customWidth="1"/>
    <col min="16" max="16" width="9.5703125" bestFit="1" customWidth="1"/>
    <col min="17" max="17" width="12.42578125" customWidth="1"/>
    <col min="18" max="18" width="12.85546875" customWidth="1"/>
    <col min="20" max="20" width="19.7109375" customWidth="1"/>
    <col min="21" max="21" width="25.5703125" customWidth="1"/>
    <col min="22" max="22" width="22" customWidth="1"/>
    <col min="26" max="26" width="14.140625" customWidth="1"/>
    <col min="27" max="27" width="13.28515625" customWidth="1"/>
    <col min="29" max="31" width="19.140625" customWidth="1"/>
    <col min="32" max="32" width="25.140625" customWidth="1"/>
    <col min="33" max="33" width="41.5703125" customWidth="1"/>
    <col min="34" max="34" width="16.85546875" customWidth="1"/>
    <col min="36" max="36" width="28.140625" customWidth="1"/>
    <col min="37" max="37" width="20.7109375" customWidth="1"/>
    <col min="38" max="38" width="12.5703125" customWidth="1"/>
    <col min="39" max="39" width="13.85546875" customWidth="1"/>
    <col min="40" max="40" width="11.7109375" customWidth="1"/>
    <col min="41" max="41" width="11" customWidth="1"/>
    <col min="42" max="42" width="15.140625" customWidth="1"/>
    <col min="43" max="43" width="17.7109375" customWidth="1"/>
    <col min="47" max="47" width="20.85546875" style="56" customWidth="1"/>
    <col min="48" max="48" width="26.140625" style="56" customWidth="1"/>
    <col min="49" max="49" width="9.140625" style="56"/>
    <col min="51" max="51" width="18.85546875" customWidth="1"/>
  </cols>
  <sheetData>
    <row r="1" spans="1:52" ht="91.5" customHeight="1">
      <c r="A1" s="57" t="s">
        <v>857</v>
      </c>
      <c r="B1" s="91" t="s">
        <v>858</v>
      </c>
      <c r="C1" s="49" t="s">
        <v>859</v>
      </c>
      <c r="D1" s="49" t="s">
        <v>860</v>
      </c>
      <c r="E1" s="49" t="s">
        <v>861</v>
      </c>
      <c r="F1" s="49" t="s">
        <v>862</v>
      </c>
      <c r="G1" s="49" t="s">
        <v>863</v>
      </c>
      <c r="H1" s="49" t="s">
        <v>864</v>
      </c>
      <c r="I1" s="49" t="s">
        <v>865</v>
      </c>
      <c r="J1" s="49" t="s">
        <v>1118</v>
      </c>
      <c r="K1" s="49" t="s">
        <v>867</v>
      </c>
      <c r="L1" s="49" t="s">
        <v>868</v>
      </c>
      <c r="Q1" s="50" t="s">
        <v>946</v>
      </c>
      <c r="R1" s="49" t="s">
        <v>859</v>
      </c>
      <c r="S1" s="49" t="s">
        <v>860</v>
      </c>
      <c r="T1" s="49" t="s">
        <v>870</v>
      </c>
      <c r="U1" s="49" t="s">
        <v>867</v>
      </c>
      <c r="V1" s="49" t="s">
        <v>873</v>
      </c>
      <c r="Z1" s="50" t="s">
        <v>876</v>
      </c>
      <c r="AA1" s="49" t="s">
        <v>859</v>
      </c>
      <c r="AB1" s="49" t="s">
        <v>860</v>
      </c>
      <c r="AC1" s="49" t="s">
        <v>870</v>
      </c>
      <c r="AD1" s="49" t="s">
        <v>871</v>
      </c>
      <c r="AE1" s="49" t="s">
        <v>872</v>
      </c>
      <c r="AF1" s="49" t="s">
        <v>867</v>
      </c>
      <c r="AG1" s="49" t="s">
        <v>873</v>
      </c>
      <c r="AH1" s="49" t="s">
        <v>874</v>
      </c>
      <c r="AJ1" s="201" t="s">
        <v>922</v>
      </c>
      <c r="AK1" s="49" t="s">
        <v>859</v>
      </c>
      <c r="AL1" s="49" t="s">
        <v>860</v>
      </c>
      <c r="AM1" s="49" t="s">
        <v>870</v>
      </c>
      <c r="AN1" s="49" t="s">
        <v>871</v>
      </c>
      <c r="AO1" s="49" t="s">
        <v>872</v>
      </c>
      <c r="AP1" s="49" t="s">
        <v>867</v>
      </c>
      <c r="AQ1" s="49" t="s">
        <v>873</v>
      </c>
      <c r="AU1" s="1" t="str" cm="1">
        <f t="array" ref="AU1:AU20">_xlfn.UNIQUE(A2:A100)</f>
        <v>RCT Presence</v>
      </c>
      <c r="AV1" s="1" t="str" cm="1">
        <f t="array" ref="AV1">INDEX($AU$1:$AU$100,INT((ROW(A1)-1)/3)+1)</f>
        <v>RCT Presence</v>
      </c>
      <c r="AW1" s="1" t="str" cm="1">
        <f t="array" ref="AW1">INDEX({"OR","RRR","ME"},MOD(ROW(AH1)-1,3)+1)</f>
        <v>OR</v>
      </c>
      <c r="AY1" s="1" t="str" cm="1">
        <f t="array" ref="AY1">INDEX($AU$1:$AU$100,INT((ROW(A1)-1)/2)+1)</f>
        <v>RCT Presence</v>
      </c>
      <c r="AZ1" s="6" t="str" cm="1">
        <f t="array" ref="AZ1">INDEX({"OR / RRR";"ME"}, MOD(ROW(M1)-1, 2)+1)</f>
        <v>OR / RRR</v>
      </c>
    </row>
    <row r="2" spans="1:52" ht="84.75" customHeight="1">
      <c r="A2" s="92" t="s">
        <v>1119</v>
      </c>
      <c r="B2" s="92" t="s">
        <v>907</v>
      </c>
      <c r="C2" s="92" t="s">
        <v>1119</v>
      </c>
      <c r="D2" s="93" t="s">
        <v>894</v>
      </c>
      <c r="E2" s="95">
        <v>0.46</v>
      </c>
      <c r="F2" s="95">
        <v>-0.08</v>
      </c>
      <c r="G2" s="95">
        <v>0.19</v>
      </c>
      <c r="H2" s="95"/>
      <c r="I2" s="95"/>
      <c r="J2" s="96">
        <v>0.46</v>
      </c>
      <c r="K2" s="96" t="s">
        <v>365</v>
      </c>
      <c r="L2" s="92" t="s">
        <v>1120</v>
      </c>
      <c r="O2" s="88"/>
      <c r="P2" s="89"/>
      <c r="R2" s="44" t="str">
        <f t="shared" ref="R2:R33" si="0">AV1</f>
        <v>RCT Presence</v>
      </c>
      <c r="S2" s="51" t="str">
        <f t="shared" ref="S2:S33" si="1">AW1</f>
        <v>OR</v>
      </c>
      <c r="T2" s="51" t="str">
        <f>ROUND(_xlfn.MINIFS(E:E, A:A, R2, D:D, S2), 2) &amp; "-" &amp; ROUND(_xlfn.MAXIFS(E:E, A:A, R2, D:D, S2), 2)</f>
        <v>0,32-18,19</v>
      </c>
      <c r="U2" s="51" t="str" cm="1">
        <f t="array" ref="U2">_xlfn.TEXTJOIN(", ", TRUE, _xlfn.UNIQUE(_xlfn._xlws.FILTER(K$2:K$100, (A$2:A$100 = R2) * (D$2:D$100 = S2))))</f>
        <v>Germany, UK, Sweden, Australia, England, Scotland, France, Australia, Canada, Germany, Netherlands, Hungary</v>
      </c>
      <c r="V2" s="51" t="str" cm="1">
        <f t="array" ref="V2">_xlfn.TEXTJOIN(", ", TRUE, _xlfn.UNIQUE(IF((A$2:A$100 = R2) * (D$2:D$100 = S2), L$2:L$100, "")))</f>
        <v>(Schaefer et al., 2023), (Strand et al., 2022), (A. Harris et al., 2016), (Ciani et al., 2021)</v>
      </c>
      <c r="W2">
        <v>4</v>
      </c>
      <c r="AA2" s="44" t="str">
        <f t="shared" ref="AA2:AA33" si="2">AV1</f>
        <v>RCT Presence</v>
      </c>
      <c r="AB2" s="51" t="str">
        <f t="shared" ref="AB2:AB33" si="3">AW1</f>
        <v>OR</v>
      </c>
      <c r="AC2" s="194">
        <f>IF(AD2=AE2, IF(AD2=0, "NO DATA", ROUND(AD2, 2)), ROUND(AD2, 2) &amp; "-" &amp; ROUND(AE2, 2))</f>
        <v>18.190000000000001</v>
      </c>
      <c r="AD2" s="51">
        <f>IF(_xlfn.MINIFS(E:E, A:A, AA2, D:D, AB2, J:J, "&lt;=0,050")=0, "NA", _xlfn.MINIFS(E:E, A:A, AA2, D:D, AB2, J:J, "&lt;=0,050"))</f>
        <v>18.192328604914966</v>
      </c>
      <c r="AE2" s="51">
        <f>IF(_xlfn.MAXIFS(E:E, A:A, AA2, D:D, AB2, J:J, "&lt;=0,050")=0, "NA", _xlfn.MAXIFS(E:E, A:A, AA2, D:D, AB2, J:J, "&lt;=0,050"))</f>
        <v>18.192328604914966</v>
      </c>
      <c r="AF2" s="51" t="str" cm="1">
        <f t="array" ref="AF2">IFERROR(_xlfn.TEXTJOIN(", ", TRUE, _xlfn.UNIQUE(_xlfn._xlws.FILTER(K$2:K$100, (A$2:A$100 = AA2) * (D$2:D$100 = AB2) * ((J$2:J$100 &lt;= 0.05))))), "")</f>
        <v>Germany</v>
      </c>
      <c r="AG2" s="51" t="str" cm="1">
        <f t="array" ref="AG2">_xlfn.TEXTJOIN(", ", TRUE, _xlfn.UNIQUE(IF((A$2:A$100 = R2) * (D$2:D$100 = S2) * ((J$2:J$100 &lt;= 0.05)), L$2:L$100, "")))</f>
        <v>(Schaefer et al., 2023)</v>
      </c>
      <c r="AH2" s="51" t="str">
        <f t="shared" ref="AH2:AH33" si="4">IF(OR(AB2="OR", AB2="RRR"), "OR / RRR", AB2)</f>
        <v>OR / RRR</v>
      </c>
      <c r="AK2" s="44" t="str">
        <f>AY1</f>
        <v>RCT Presence</v>
      </c>
      <c r="AL2" s="46" t="str">
        <f>AZ1</f>
        <v>OR / RRR</v>
      </c>
      <c r="AM2" s="194">
        <f>IF(AN2=AO2, IF(AN2=0, "NO DATA", ROUND(AN2, 2)), ROUND(AN2, 2) &amp; "-" &amp; ROUND(AO2, 2))</f>
        <v>18.190000000000001</v>
      </c>
      <c r="AN2" s="200">
        <f>_xlfn.MINIFS(AD:AD, AA:AA, AK2, AH:AH, AL2)</f>
        <v>18.192328604914966</v>
      </c>
      <c r="AO2" s="46">
        <f>_xlfn.MAXIFS(AE:AE, AA:AA, AK2, AH:AH, AL2)</f>
        <v>18.192328604914966</v>
      </c>
      <c r="AP2" s="51" t="str" cm="1">
        <f t="array" ref="AP2">_xlfn.TEXTJOIN(", ", TRUE, _xlfn.UNIQUE(IF((AA$2:AA$100 = AK2) * (AH$2:AH$100 = AL2), AF$2:AF$100, "")))</f>
        <v>Germany</v>
      </c>
      <c r="AQ2" s="51" t="str" cm="1">
        <f t="array" ref="AQ2">_xlfn.TEXTJOIN(", ", TRUE, _xlfn.UNIQUE(IF((AA$2:AA$100 = AK2) * (AH$2:AH$100 = AL2), AG$2:AG$100, "")))</f>
        <v>(Schaefer et al., 2023)</v>
      </c>
      <c r="AU2" s="1" t="str">
        <v>RCT Presence (comparison through indirect RCTs)</v>
      </c>
      <c r="AV2" s="1" t="str" cm="1">
        <f t="array" ref="AV2">INDEX($AU$1:$AU$100,INT((ROW(A2)-1)/3)+1)</f>
        <v>RCT Presence</v>
      </c>
      <c r="AW2" s="1" t="str" cm="1">
        <f t="array" ref="AW2">INDEX({"OR","RRR","ME"},MOD(ROW(AH2)-1,3)+1)</f>
        <v>RRR</v>
      </c>
      <c r="AY2" s="1" t="str" cm="1">
        <f t="array" ref="AY2">INDEX($AU$1:$AU$100,INT((ROW(A2)-1)/2)+1)</f>
        <v>RCT Presence</v>
      </c>
      <c r="AZ2" s="6" t="str" cm="1">
        <f t="array" ref="AZ2">INDEX({"OR / RRR";"ME"}, MOD(ROW(M2)-1, 2)+1)</f>
        <v>ME</v>
      </c>
    </row>
    <row r="3" spans="1:52" ht="60">
      <c r="A3" s="92" t="s">
        <v>1119</v>
      </c>
      <c r="B3" s="92" t="s">
        <v>885</v>
      </c>
      <c r="C3" s="92" t="s">
        <v>1119</v>
      </c>
      <c r="D3" s="93" t="s">
        <v>879</v>
      </c>
      <c r="E3" s="95">
        <f>EXP(2.901)</f>
        <v>18.192328604914966</v>
      </c>
      <c r="F3" s="95">
        <f>EXP(2.901-1.96*0.83)</f>
        <v>3.5758395938526277</v>
      </c>
      <c r="G3" s="95">
        <f>EXP(2.901+1.96*0.83)</f>
        <v>92.554716558923801</v>
      </c>
      <c r="H3" s="95"/>
      <c r="I3" s="95"/>
      <c r="J3" s="96">
        <v>0.01</v>
      </c>
      <c r="K3" s="96" t="s">
        <v>50</v>
      </c>
      <c r="L3" s="92" t="s">
        <v>1094</v>
      </c>
      <c r="O3" s="88"/>
      <c r="P3" s="90"/>
      <c r="R3" s="44" t="str">
        <f t="shared" si="0"/>
        <v>RCT Presence</v>
      </c>
      <c r="S3" s="51" t="str">
        <f t="shared" si="1"/>
        <v>RRR</v>
      </c>
      <c r="T3" s="51" t="str">
        <f>ROUND(_xlfn.MINIFS(E:E, A:A, R3, D:D, S3), 2) &amp; "-" &amp; ROUND(_xlfn.MAXIFS(E:E, A:A, R3, D:D, S3), 2)</f>
        <v>1,03-1,03</v>
      </c>
      <c r="U3" s="51" t="str" cm="1">
        <f t="array" ref="U3">_xlfn.TEXTJOIN(", ", TRUE, _xlfn.UNIQUE(_xlfn._xlws.FILTER(K$2:K$100, (A$2:A$100 = R3) * (D$2:D$100 = S3))))</f>
        <v>England</v>
      </c>
      <c r="V3" s="51" t="str" cm="1">
        <f t="array" ref="V3">_xlfn.TEXTJOIN(", ", TRUE, _xlfn.UNIQUE(IF((A$2:A$100 = R3) * (D$2:D$100 = S3), L$2:L$100, "")))</f>
        <v>(H. A. Dakin et al., 2006)</v>
      </c>
      <c r="W3">
        <v>1</v>
      </c>
      <c r="AA3" s="44" t="str">
        <f t="shared" si="2"/>
        <v>RCT Presence</v>
      </c>
      <c r="AB3" s="51" t="str">
        <f t="shared" si="3"/>
        <v>RRR</v>
      </c>
      <c r="AC3" s="194" t="e">
        <f t="shared" ref="AC3:AC61" si="5">IF(AD3=AE3, IF(AD3=0, "NO DATA", ROUND(AD3, 2)), ROUND(AD3, 2) &amp; "-" &amp; ROUND(AE3, 2))</f>
        <v>#VALUE!</v>
      </c>
      <c r="AD3" s="51" t="str">
        <f t="shared" ref="AD3:AD61" si="6">IF(_xlfn.MINIFS(E:E, A:A, AA3, D:D, AB3, J:J, "&lt;=0,050")=0, "NA", _xlfn.MINIFS(E:E, A:A, AA3, D:D, AB3, J:J, "&lt;=0,050"))</f>
        <v>NA</v>
      </c>
      <c r="AE3" s="51" t="str">
        <f t="shared" ref="AE3:AE61" si="7">IF(_xlfn.MAXIFS(E:E, A:A, AA3, D:D, AB3, J:J, "&lt;=0,050")=0, "NA", _xlfn.MAXIFS(E:E, A:A, AA3, D:D, AB3, J:J, "&lt;=0,050"))</f>
        <v>NA</v>
      </c>
      <c r="AF3" s="51" t="str" cm="1">
        <f t="array" ref="AF3">IFERROR(_xlfn.TEXTJOIN(", ", TRUE, _xlfn.UNIQUE(_xlfn._xlws.FILTER(K$2:K$100, (A$2:A$100 = AA3) * (D$2:D$100 = AB3) * ((J$2:J$100 &lt;= 0.05))))), "")</f>
        <v/>
      </c>
      <c r="AG3" s="51" t="str" cm="1">
        <f t="array" ref="AG3">_xlfn.TEXTJOIN(", ", TRUE, _xlfn.UNIQUE(IF((A$2:A$100 = R3) * (D$2:D$100 = S3) * ((J$2:J$100 &lt;= 0.05)), L$2:L$100, "")))</f>
        <v/>
      </c>
      <c r="AH3" s="51" t="str">
        <f t="shared" si="4"/>
        <v>OR / RRR</v>
      </c>
      <c r="AK3" s="44" t="str">
        <f t="shared" ref="AK3:AK9" si="8">AY2</f>
        <v>RCT Presence</v>
      </c>
      <c r="AL3" s="46" t="str">
        <f t="shared" ref="AL3:AL9" si="9">AZ2</f>
        <v>ME</v>
      </c>
      <c r="AM3" s="194" t="str">
        <f t="shared" ref="AM3:AM9" si="10">IF(AN3=AO3, IF(AN3=0, "NO DATA", ROUND(AN3, 2)), ROUND(AN3, 2) &amp; "-" &amp; ROUND(AO3, 2))</f>
        <v>NO DATA</v>
      </c>
      <c r="AN3" s="200">
        <f t="shared" ref="AN3:AN9" si="11">_xlfn.MINIFS(AD:AD, AA:AA, AK3, AH:AH, AL3)</f>
        <v>0</v>
      </c>
      <c r="AO3" s="46">
        <f t="shared" ref="AO3:AO9" si="12">_xlfn.MAXIFS(AE:AE, AA:AA, AK3, AH:AH, AL3)</f>
        <v>0</v>
      </c>
      <c r="AP3" s="51" t="str" cm="1">
        <f t="array" ref="AP3">_xlfn.TEXTJOIN(", ", TRUE, _xlfn.UNIQUE(IF((AA$2:AA$100 = AK3) * (AH$2:AH$100 = AL3), AF$2:AF$100, "")))</f>
        <v/>
      </c>
      <c r="AQ3" s="51" t="str" cm="1">
        <f t="array" ref="AQ3">_xlfn.TEXTJOIN(", ", TRUE, _xlfn.UNIQUE(IF((AA$2:AA$100 = AK3) * (AH$2:AH$100 = AL3), AG$2:AG$100, "")))</f>
        <v/>
      </c>
      <c r="AU3" s="1" t="str">
        <v>Validity of outcome measure</v>
      </c>
      <c r="AV3" s="1" t="str" cm="1">
        <f t="array" ref="AV3">INDEX($AU$1:$AU$100,INT((ROW(A3)-1)/3)+1)</f>
        <v>RCT Presence</v>
      </c>
      <c r="AW3" s="1" t="str" cm="1">
        <f t="array" ref="AW3">INDEX({"OR","RRR","ME"},MOD(ROW(AH3)-1,3)+1)</f>
        <v>ME</v>
      </c>
      <c r="AY3" s="1" t="str" cm="1">
        <f t="array" ref="AY3">INDEX($AU$1:$AU$100,INT((ROW(A3)-1)/2)+1)</f>
        <v>RCT Presence (comparison through indirect RCTs)</v>
      </c>
      <c r="AZ3" s="6" t="str" cm="1">
        <f t="array" ref="AZ3">INDEX({"OR / RRR";"ME"}, MOD(ROW(M3)-1, 2)+1)</f>
        <v>OR / RRR</v>
      </c>
    </row>
    <row r="4" spans="1:52" ht="60">
      <c r="A4" s="92" t="s">
        <v>1119</v>
      </c>
      <c r="B4" s="92" t="s">
        <v>885</v>
      </c>
      <c r="C4" s="92" t="s">
        <v>1119</v>
      </c>
      <c r="D4" s="93" t="s">
        <v>879</v>
      </c>
      <c r="E4" s="95">
        <f>EXP(0.462)</f>
        <v>1.587245303225596</v>
      </c>
      <c r="F4" s="95">
        <f>1/EXP(0.462+1.96*0.873)</f>
        <v>0.11382649086244243</v>
      </c>
      <c r="G4" s="95">
        <f>1/EXP(0.462-1.96*0.873)</f>
        <v>3.4871333186012383</v>
      </c>
      <c r="H4" s="95"/>
      <c r="I4" s="95"/>
      <c r="J4" s="96" t="s">
        <v>886</v>
      </c>
      <c r="K4" s="96" t="s">
        <v>840</v>
      </c>
      <c r="L4" s="92" t="s">
        <v>1094</v>
      </c>
      <c r="R4" s="44" t="str">
        <f t="shared" si="0"/>
        <v>RCT Presence</v>
      </c>
      <c r="S4" s="51" t="str">
        <f t="shared" si="1"/>
        <v>ME</v>
      </c>
      <c r="T4" s="51" t="str">
        <f t="shared" ref="T4:T67" si="13">ROUND(_xlfn.MINIFS(E:E, A:A, R4, D:D, S4), 2) &amp; "-" &amp; ROUND(_xlfn.MAXIFS(E:E, A:A, R4, D:D, S4), 2)</f>
        <v>0,46-0,46</v>
      </c>
      <c r="U4" s="51" t="str" cm="1">
        <f t="array" ref="U4">_xlfn.TEXTJOIN(", ", TRUE, _xlfn.UNIQUE(_xlfn._xlws.FILTER(K$2:K$100, (A$2:A$100 = R4) * (D$2:D$100 = S4))))</f>
        <v>Australia</v>
      </c>
      <c r="V4" s="51" t="str" cm="1">
        <f t="array" ref="V4">_xlfn.TEXTJOIN(", ", TRUE, _xlfn.UNIQUE(IF((A$2:A$100 = R4) * (D$2:D$100 = S4), L$2:L$100, "")))</f>
        <v>A. H. Harris et al., 2008</v>
      </c>
      <c r="W4">
        <v>1</v>
      </c>
      <c r="AA4" s="44" t="str">
        <f t="shared" si="2"/>
        <v>RCT Presence</v>
      </c>
      <c r="AB4" s="51" t="str">
        <f t="shared" si="3"/>
        <v>ME</v>
      </c>
      <c r="AC4" s="194" t="e">
        <f t="shared" si="5"/>
        <v>#VALUE!</v>
      </c>
      <c r="AD4" s="51" t="str">
        <f t="shared" si="6"/>
        <v>NA</v>
      </c>
      <c r="AE4" s="51" t="str">
        <f t="shared" si="7"/>
        <v>NA</v>
      </c>
      <c r="AF4" s="51" t="str" cm="1">
        <f t="array" ref="AF4">IFERROR(_xlfn.TEXTJOIN(", ", TRUE, _xlfn.UNIQUE(_xlfn._xlws.FILTER(K$2:K$100, (A$2:A$100 = AA4) * (D$2:D$100 = AB4) * ((J$2:J$100 &lt;= 0.05))))), "")</f>
        <v/>
      </c>
      <c r="AG4" s="51" t="str" cm="1">
        <f t="array" ref="AG4">_xlfn.TEXTJOIN(", ", TRUE, _xlfn.UNIQUE(IF((A$2:A$100 = R4) * (D$2:D$100 = S4) * ((J$2:J$100 &lt;= 0.05)), L$2:L$100, "")))</f>
        <v/>
      </c>
      <c r="AH4" s="51" t="str">
        <f t="shared" si="4"/>
        <v>ME</v>
      </c>
      <c r="AK4" s="44" t="str">
        <f t="shared" si="8"/>
        <v>RCT Presence (comparison through indirect RCTs)</v>
      </c>
      <c r="AL4" s="46" t="str">
        <f t="shared" si="9"/>
        <v>OR / RRR</v>
      </c>
      <c r="AM4" s="194">
        <f t="shared" si="10"/>
        <v>8.0299999999999994</v>
      </c>
      <c r="AN4" s="200">
        <f t="shared" si="11"/>
        <v>8.0299999999999994</v>
      </c>
      <c r="AO4" s="46">
        <f t="shared" si="12"/>
        <v>8.0299999999999994</v>
      </c>
      <c r="AP4" s="51" t="str" cm="1">
        <f t="array" ref="AP4">_xlfn.TEXTJOIN(", ", TRUE, _xlfn.UNIQUE(IF((AA$2:AA$100 = AK4) * (AH$2:AH$100 = AL4), AF$2:AF$100, "")))</f>
        <v>Australia</v>
      </c>
      <c r="AQ4" s="51" t="str" cm="1">
        <f t="array" ref="AQ4">_xlfn.TEXTJOIN(", ", TRUE, _xlfn.UNIQUE(IF((AA$2:AA$100 = AK4) * (AH$2:AH$100 = AL4), AG$2:AG$100, "")))</f>
        <v>(A. Harris et al., 2016)</v>
      </c>
      <c r="AU4" s="1" t="str">
        <v>High Quality of Evidence</v>
      </c>
      <c r="AV4" s="1" t="str" cm="1">
        <f t="array" ref="AV4">INDEX($AU$1:$AU$100,INT((ROW(A4)-1)/3)+1)</f>
        <v>RCT Presence (comparison through indirect RCTs)</v>
      </c>
      <c r="AW4" s="1" t="str" cm="1">
        <f t="array" ref="AW4">INDEX({"OR","RRR","ME"},MOD(ROW(AH4)-1,3)+1)</f>
        <v>OR</v>
      </c>
      <c r="AY4" s="1" t="str" cm="1">
        <f t="array" ref="AY4">INDEX($AU$1:$AU$100,INT((ROW(A4)-1)/2)+1)</f>
        <v>RCT Presence (comparison through indirect RCTs)</v>
      </c>
      <c r="AZ4" s="6" t="str" cm="1">
        <f t="array" ref="AZ4">INDEX({"OR / RRR";"ME"}, MOD(ROW(M4)-1, 2)+1)</f>
        <v>ME</v>
      </c>
    </row>
    <row r="5" spans="1:52" ht="105">
      <c r="A5" s="92" t="s">
        <v>1119</v>
      </c>
      <c r="B5" s="92" t="s">
        <v>1121</v>
      </c>
      <c r="C5" s="92" t="s">
        <v>1119</v>
      </c>
      <c r="D5" s="93" t="s">
        <v>879</v>
      </c>
      <c r="E5" s="95">
        <f>EXP(-0.135)</f>
        <v>0.87371591168803442</v>
      </c>
      <c r="F5" s="95">
        <f>EXP(-0.135-1.96*0.084)</f>
        <v>0.74108496325194506</v>
      </c>
      <c r="G5" s="95">
        <f>EXP(-0.135+1.96*0.084)</f>
        <v>1.0300836370867352</v>
      </c>
      <c r="H5" s="95"/>
      <c r="I5" s="95"/>
      <c r="J5" s="96" t="s">
        <v>886</v>
      </c>
      <c r="K5" s="96" t="s">
        <v>122</v>
      </c>
      <c r="L5" s="92" t="s">
        <v>1122</v>
      </c>
      <c r="R5" s="44" t="str">
        <f t="shared" si="0"/>
        <v>RCT Presence (comparison through indirect RCTs)</v>
      </c>
      <c r="S5" s="51" t="str">
        <f t="shared" si="1"/>
        <v>OR</v>
      </c>
      <c r="T5" s="51" t="str">
        <f t="shared" si="13"/>
        <v>8,03-8,03</v>
      </c>
      <c r="U5" s="51" t="str" cm="1">
        <f t="array" ref="U5">_xlfn.TEXTJOIN(", ", TRUE, _xlfn.UNIQUE(_xlfn._xlws.FILTER(K$2:K$100, (A$2:A$100 = R5) * (D$2:D$100 = S5))))</f>
        <v>Australia</v>
      </c>
      <c r="V5" s="51" t="str" cm="1">
        <f t="array" ref="V5">_xlfn.TEXTJOIN(", ", TRUE, _xlfn.UNIQUE(IF((A$2:A$100 = R5) * (D$2:D$100 = S5), L$2:L$100, "")))</f>
        <v>(A. Harris et al., 2016)</v>
      </c>
      <c r="AA5" s="44" t="str">
        <f t="shared" si="2"/>
        <v>RCT Presence (comparison through indirect RCTs)</v>
      </c>
      <c r="AB5" s="51" t="str">
        <f t="shared" si="3"/>
        <v>OR</v>
      </c>
      <c r="AC5" s="194">
        <f t="shared" si="5"/>
        <v>8.0299999999999994</v>
      </c>
      <c r="AD5" s="51">
        <f t="shared" si="6"/>
        <v>8.0299999999999994</v>
      </c>
      <c r="AE5" s="51">
        <f t="shared" si="7"/>
        <v>8.0299999999999994</v>
      </c>
      <c r="AF5" s="51" t="str" cm="1">
        <f t="array" ref="AF5">IFERROR(_xlfn.TEXTJOIN(", ", TRUE, _xlfn.UNIQUE(_xlfn._xlws.FILTER(K$2:K$100, (A$2:A$100 = AA5) * (D$2:D$100 = AB5) * ((J$2:J$100 &lt;= 0.05))))), "")</f>
        <v>Australia</v>
      </c>
      <c r="AG5" s="51" t="str" cm="1">
        <f t="array" ref="AG5">_xlfn.TEXTJOIN(", ", TRUE, _xlfn.UNIQUE(IF((A$2:A$100 = R5) * (D$2:D$100 = S5) * ((J$2:J$100 &lt;= 0.05)), L$2:L$100, "")))</f>
        <v>(A. Harris et al., 2016)</v>
      </c>
      <c r="AH5" s="51" t="str">
        <f t="shared" si="4"/>
        <v>OR / RRR</v>
      </c>
      <c r="AK5" s="44" t="str">
        <f t="shared" si="8"/>
        <v>RCT Presence (comparison through indirect RCTs)</v>
      </c>
      <c r="AL5" s="46" t="str">
        <f t="shared" si="9"/>
        <v>ME</v>
      </c>
      <c r="AM5" s="194" t="str">
        <f t="shared" si="10"/>
        <v>NO DATA</v>
      </c>
      <c r="AN5" s="200">
        <f t="shared" si="11"/>
        <v>0</v>
      </c>
      <c r="AO5" s="46">
        <f t="shared" si="12"/>
        <v>0</v>
      </c>
      <c r="AP5" s="51" t="str" cm="1">
        <f t="array" ref="AP5">_xlfn.TEXTJOIN(", ", TRUE, _xlfn.UNIQUE(IF((AA$2:AA$100 = AK5) * (AH$2:AH$100 = AL5), AF$2:AF$100, "")))</f>
        <v/>
      </c>
      <c r="AQ5" s="51" t="str" cm="1">
        <f t="array" ref="AQ5">_xlfn.TEXTJOIN(", ", TRUE, _xlfn.UNIQUE(IF((AA$2:AA$100 = AK5) * (AH$2:AH$100 = AL5), AG$2:AG$100, "")))</f>
        <v/>
      </c>
      <c r="AU5" s="1" t="str">
        <v>Indirect Comparison</v>
      </c>
      <c r="AV5" s="1" t="str" cm="1">
        <f t="array" ref="AV5">INDEX($AU$1:$AU$100,INT((ROW(A5)-1)/3)+1)</f>
        <v>RCT Presence (comparison through indirect RCTs)</v>
      </c>
      <c r="AW5" s="1" t="str" cm="1">
        <f t="array" ref="AW5">INDEX({"OR","RRR","ME"},MOD(ROW(AH5)-1,3)+1)</f>
        <v>RRR</v>
      </c>
      <c r="AY5" s="1" t="str" cm="1">
        <f t="array" ref="AY5">INDEX($AU$1:$AU$100,INT((ROW(A5)-1)/2)+1)</f>
        <v>Validity of outcome measure</v>
      </c>
      <c r="AZ5" s="6" t="str" cm="1">
        <f t="array" ref="AZ5">INDEX({"OR / RRR";"ME"}, MOD(ROW(M5)-1, 2)+1)</f>
        <v>OR / RRR</v>
      </c>
    </row>
    <row r="6" spans="1:52" ht="105">
      <c r="A6" s="92" t="s">
        <v>1119</v>
      </c>
      <c r="B6" s="92" t="s">
        <v>907</v>
      </c>
      <c r="C6" s="92" t="s">
        <v>1119</v>
      </c>
      <c r="D6" s="93" t="s">
        <v>879</v>
      </c>
      <c r="E6" s="95">
        <v>3.97</v>
      </c>
      <c r="F6" s="95">
        <v>1</v>
      </c>
      <c r="G6" s="95">
        <v>15.82</v>
      </c>
      <c r="H6" s="95"/>
      <c r="I6" s="95"/>
      <c r="J6" s="96" t="s">
        <v>965</v>
      </c>
      <c r="K6" s="96" t="s">
        <v>365</v>
      </c>
      <c r="L6" s="92" t="s">
        <v>909</v>
      </c>
      <c r="R6" s="44" t="str">
        <f t="shared" si="0"/>
        <v>RCT Presence (comparison through indirect RCTs)</v>
      </c>
      <c r="S6" s="51" t="str">
        <f t="shared" si="1"/>
        <v>RRR</v>
      </c>
      <c r="T6" s="51" t="str">
        <f t="shared" si="13"/>
        <v>0-0</v>
      </c>
      <c r="U6" s="51" t="e" cm="1" vm="1">
        <f t="array" ref="U6">_xlfn.TEXTJOIN(", ", TRUE, _xlfn.UNIQUE(_xlfn._xlws.FILTER(K$2:K$100, (A$2:A$100 = R6) * (D$2:D$100 = S6))))</f>
        <v>#VALUE!</v>
      </c>
      <c r="V6" s="51" t="str" cm="1">
        <f t="array" ref="V6">_xlfn.TEXTJOIN(", ", TRUE, _xlfn.UNIQUE(IF((A$2:A$100 = R6) * (D$2:D$100 = S6), L$2:L$100, "")))</f>
        <v/>
      </c>
      <c r="AA6" s="44" t="str">
        <f t="shared" si="2"/>
        <v>RCT Presence (comparison through indirect RCTs)</v>
      </c>
      <c r="AB6" s="51" t="str">
        <f t="shared" si="3"/>
        <v>RRR</v>
      </c>
      <c r="AC6" s="194" t="e">
        <f t="shared" si="5"/>
        <v>#VALUE!</v>
      </c>
      <c r="AD6" s="51" t="str">
        <f t="shared" si="6"/>
        <v>NA</v>
      </c>
      <c r="AE6" s="51" t="str">
        <f t="shared" si="7"/>
        <v>NA</v>
      </c>
      <c r="AF6" s="51" t="str" cm="1">
        <f t="array" ref="AF6">IFERROR(_xlfn.TEXTJOIN(", ", TRUE, _xlfn.UNIQUE(_xlfn._xlws.FILTER(K$2:K$100, (A$2:A$100 = AA6) * (D$2:D$100 = AB6) * ((J$2:J$100 &lt;= 0.05))))), "")</f>
        <v/>
      </c>
      <c r="AG6" s="51" t="str" cm="1">
        <f t="array" ref="AG6">_xlfn.TEXTJOIN(", ", TRUE, _xlfn.UNIQUE(IF((A$2:A$100 = R6) * (D$2:D$100 = S6) * ((J$2:J$100 &lt;= 0.05)), L$2:L$100, "")))</f>
        <v/>
      </c>
      <c r="AH6" s="51" t="str">
        <f t="shared" si="4"/>
        <v>OR / RRR</v>
      </c>
      <c r="AK6" s="44" t="str">
        <f t="shared" si="8"/>
        <v>Validity of outcome measure</v>
      </c>
      <c r="AL6" s="46" t="str">
        <f t="shared" si="9"/>
        <v>OR / RRR</v>
      </c>
      <c r="AM6" s="194">
        <f t="shared" si="10"/>
        <v>5.95</v>
      </c>
      <c r="AN6" s="200">
        <f t="shared" si="11"/>
        <v>5.95</v>
      </c>
      <c r="AO6" s="46">
        <f t="shared" si="12"/>
        <v>5.95</v>
      </c>
      <c r="AP6" s="51" t="str" cm="1">
        <f t="array" ref="AP6">_xlfn.TEXTJOIN(", ", TRUE, _xlfn.UNIQUE(IF((AA$2:AA$100 = AK6) * (AH$2:AH$100 = AL6), AF$2:AF$100, "")))</f>
        <v>Australia</v>
      </c>
      <c r="AQ6" s="51" t="str" cm="1">
        <f t="array" ref="AQ6">_xlfn.TEXTJOIN(", ", TRUE, _xlfn.UNIQUE(IF((AA$2:AA$100 = AK6) * (AH$2:AH$100 = AL6), AG$2:AG$100, "")))</f>
        <v>(A. Harris et al., 2016)</v>
      </c>
      <c r="AU6" s="1" t="str">
        <v>Quality of Submission - acceptable</v>
      </c>
      <c r="AV6" s="1" t="str" cm="1">
        <f t="array" ref="AV6">INDEX($AU$1:$AU$100,INT((ROW(A6)-1)/3)+1)</f>
        <v>RCT Presence (comparison through indirect RCTs)</v>
      </c>
      <c r="AW6" s="1" t="str" cm="1">
        <f t="array" ref="AW6">INDEX({"OR","RRR","ME"},MOD(ROW(AH6)-1,3)+1)</f>
        <v>ME</v>
      </c>
      <c r="AY6" s="1" t="str" cm="1">
        <f t="array" ref="AY6">INDEX($AU$1:$AU$100,INT((ROW(A6)-1)/2)+1)</f>
        <v>Validity of outcome measure</v>
      </c>
      <c r="AZ6" s="6" t="str" cm="1">
        <f t="array" ref="AZ6">INDEX({"OR / RRR";"ME"}, MOD(ROW(M6)-1, 2)+1)</f>
        <v>ME</v>
      </c>
    </row>
    <row r="7" spans="1:52" ht="105">
      <c r="A7" s="92" t="s">
        <v>1119</v>
      </c>
      <c r="B7" s="92" t="s">
        <v>914</v>
      </c>
      <c r="C7" s="92" t="s">
        <v>1119</v>
      </c>
      <c r="D7" s="93" t="s">
        <v>891</v>
      </c>
      <c r="E7" s="94">
        <f>1/0.9717</f>
        <v>1.0291242152927857</v>
      </c>
      <c r="F7" s="95">
        <f>1/1.0516</f>
        <v>0.95093191327500948</v>
      </c>
      <c r="G7" s="95">
        <f>1/0.8979</f>
        <v>1.1137097672346585</v>
      </c>
      <c r="H7" s="95"/>
      <c r="I7" s="94"/>
      <c r="J7" s="96">
        <v>0.47699999999999998</v>
      </c>
      <c r="K7" s="96" t="s">
        <v>86</v>
      </c>
      <c r="L7" s="92" t="s">
        <v>916</v>
      </c>
      <c r="R7" s="44" t="str">
        <f t="shared" si="0"/>
        <v>RCT Presence (comparison through indirect RCTs)</v>
      </c>
      <c r="S7" s="51" t="str">
        <f t="shared" si="1"/>
        <v>ME</v>
      </c>
      <c r="T7" s="51" t="str">
        <f t="shared" si="13"/>
        <v>0-0</v>
      </c>
      <c r="U7" s="51" t="e" cm="1" vm="1">
        <f t="array" ref="U7">_xlfn.TEXTJOIN(", ", TRUE, _xlfn.UNIQUE(_xlfn._xlws.FILTER(K$2:K$100, (A$2:A$100 = R7) * (D$2:D$100 = S7))))</f>
        <v>#VALUE!</v>
      </c>
      <c r="V7" s="51" t="str" cm="1">
        <f t="array" ref="V7">_xlfn.TEXTJOIN(", ", TRUE, _xlfn.UNIQUE(IF((A$2:A$100 = R7) * (D$2:D$100 = S7), L$2:L$100, "")))</f>
        <v/>
      </c>
      <c r="AA7" s="44" t="str">
        <f t="shared" si="2"/>
        <v>RCT Presence (comparison through indirect RCTs)</v>
      </c>
      <c r="AB7" s="51" t="str">
        <f t="shared" si="3"/>
        <v>ME</v>
      </c>
      <c r="AC7" s="194" t="e">
        <f t="shared" si="5"/>
        <v>#VALUE!</v>
      </c>
      <c r="AD7" s="51" t="str">
        <f t="shared" si="6"/>
        <v>NA</v>
      </c>
      <c r="AE7" s="51" t="str">
        <f t="shared" si="7"/>
        <v>NA</v>
      </c>
      <c r="AF7" s="51" t="str" cm="1">
        <f t="array" ref="AF7">IFERROR(_xlfn.TEXTJOIN(", ", TRUE, _xlfn.UNIQUE(_xlfn._xlws.FILTER(K$2:K$100, (A$2:A$100 = AA7) * (D$2:D$100 = AB7) * ((J$2:J$100 &lt;= 0.05))))), "")</f>
        <v/>
      </c>
      <c r="AG7" s="51" t="str" cm="1">
        <f t="array" ref="AG7">_xlfn.TEXTJOIN(", ", TRUE, _xlfn.UNIQUE(IF((A$2:A$100 = R7) * (D$2:D$100 = S7) * ((J$2:J$100 &lt;= 0.05)), L$2:L$100, "")))</f>
        <v/>
      </c>
      <c r="AH7" s="51" t="str">
        <f t="shared" si="4"/>
        <v>ME</v>
      </c>
      <c r="AK7" s="44" t="str">
        <f t="shared" si="8"/>
        <v>Validity of outcome measure</v>
      </c>
      <c r="AL7" s="46" t="str">
        <f t="shared" si="9"/>
        <v>ME</v>
      </c>
      <c r="AM7" s="194" t="str">
        <f t="shared" si="10"/>
        <v>NO DATA</v>
      </c>
      <c r="AN7" s="200">
        <f t="shared" si="11"/>
        <v>0</v>
      </c>
      <c r="AO7" s="46">
        <f t="shared" si="12"/>
        <v>0</v>
      </c>
      <c r="AP7" s="51" t="str" cm="1">
        <f t="array" ref="AP7">_xlfn.TEXTJOIN(", ", TRUE, _xlfn.UNIQUE(IF((AA$2:AA$100 = AK7) * (AH$2:AH$100 = AL7), AF$2:AF$100, "")))</f>
        <v/>
      </c>
      <c r="AQ7" s="51" t="str" cm="1">
        <f t="array" ref="AQ7">_xlfn.TEXTJOIN(", ", TRUE, _xlfn.UNIQUE(IF((AA$2:AA$100 = AK7) * (AH$2:AH$100 = AL7), AG$2:AG$100, "")))</f>
        <v/>
      </c>
      <c r="AU7" s="1" t="str">
        <v>Surrogate Endpoint</v>
      </c>
      <c r="AV7" s="1" t="str" cm="1">
        <f t="array" ref="AV7">INDEX($AU$1:$AU$100,INT((ROW(A7)-1)/3)+1)</f>
        <v>Validity of outcome measure</v>
      </c>
      <c r="AW7" s="1" t="str" cm="1">
        <f t="array" ref="AW7">INDEX({"OR","RRR","ME"},MOD(ROW(AH7)-1,3)+1)</f>
        <v>OR</v>
      </c>
      <c r="AY7" s="1" t="str" cm="1">
        <f t="array" ref="AY7">INDEX($AU$1:$AU$100,INT((ROW(A7)-1)/2)+1)</f>
        <v>High Quality of Evidence</v>
      </c>
      <c r="AZ7" s="6" t="str" cm="1">
        <f t="array" ref="AZ7">INDEX({"OR / RRR";"ME"}, MOD(ROW(M7)-1, 2)+1)</f>
        <v>OR / RRR</v>
      </c>
    </row>
    <row r="8" spans="1:52" ht="195">
      <c r="A8" s="92" t="s">
        <v>1123</v>
      </c>
      <c r="B8" s="92" t="s">
        <v>907</v>
      </c>
      <c r="C8" s="92" t="s">
        <v>1123</v>
      </c>
      <c r="D8" s="93" t="s">
        <v>879</v>
      </c>
      <c r="E8" s="95">
        <v>8.0299999999999994</v>
      </c>
      <c r="F8" s="95">
        <v>1.47</v>
      </c>
      <c r="G8" s="95">
        <v>43.73</v>
      </c>
      <c r="H8" s="95"/>
      <c r="I8" s="95"/>
      <c r="J8" s="96">
        <v>0.02</v>
      </c>
      <c r="K8" s="96" t="s">
        <v>365</v>
      </c>
      <c r="L8" s="92" t="s">
        <v>909</v>
      </c>
      <c r="R8" s="44" t="str">
        <f t="shared" si="0"/>
        <v>Validity of outcome measure</v>
      </c>
      <c r="S8" s="51" t="str">
        <f t="shared" si="1"/>
        <v>OR</v>
      </c>
      <c r="T8" s="51" t="str">
        <f t="shared" si="13"/>
        <v>5,95-5,95</v>
      </c>
      <c r="U8" s="51" t="str" cm="1">
        <f t="array" ref="U8">_xlfn.TEXTJOIN(", ", TRUE, _xlfn.UNIQUE(_xlfn._xlws.FILTER(K$2:K$100, (A$2:A$100 = R8) * (D$2:D$100 = S8))))</f>
        <v>Australia</v>
      </c>
      <c r="V8" s="51" t="str" cm="1">
        <f t="array" ref="V8">_xlfn.TEXTJOIN(", ", TRUE, _xlfn.UNIQUE(IF((A$2:A$100 = R8) * (D$2:D$100 = S8), L$2:L$100, "")))</f>
        <v>(A. Harris et al., 2016)</v>
      </c>
      <c r="AA8" s="44" t="str">
        <f t="shared" si="2"/>
        <v>Validity of outcome measure</v>
      </c>
      <c r="AB8" s="51" t="str">
        <f t="shared" si="3"/>
        <v>OR</v>
      </c>
      <c r="AC8" s="194">
        <f t="shared" si="5"/>
        <v>5.95</v>
      </c>
      <c r="AD8" s="51">
        <f t="shared" si="6"/>
        <v>5.95</v>
      </c>
      <c r="AE8" s="51">
        <f t="shared" si="7"/>
        <v>5.95</v>
      </c>
      <c r="AF8" s="51" t="str" cm="1">
        <f t="array" ref="AF8">IFERROR(_xlfn.TEXTJOIN(", ", TRUE, _xlfn.UNIQUE(_xlfn._xlws.FILTER(K$2:K$100, (A$2:A$100 = AA8) * (D$2:D$100 = AB8) * ((J$2:J$100 &lt;= 0.05))))), "")</f>
        <v>Australia</v>
      </c>
      <c r="AG8" s="51" t="str" cm="1">
        <f t="array" ref="AG8">_xlfn.TEXTJOIN(", ", TRUE, _xlfn.UNIQUE(IF((A$2:A$100 = R8) * (D$2:D$100 = S8) * ((J$2:J$100 &lt;= 0.05)), L$2:L$100, "")))</f>
        <v>(A. Harris et al., 2016)</v>
      </c>
      <c r="AH8" s="51" t="str">
        <f t="shared" si="4"/>
        <v>OR / RRR</v>
      </c>
      <c r="AK8" s="44" t="str">
        <f t="shared" si="8"/>
        <v>High Quality of Evidence</v>
      </c>
      <c r="AL8" s="46" t="str">
        <f t="shared" si="9"/>
        <v>OR / RRR</v>
      </c>
      <c r="AM8" s="194" t="str">
        <f t="shared" si="10"/>
        <v>0,07-92,76</v>
      </c>
      <c r="AN8" s="200">
        <f t="shared" si="11"/>
        <v>6.9900000000000004E-2</v>
      </c>
      <c r="AO8" s="46">
        <f t="shared" si="12"/>
        <v>92.758561082111768</v>
      </c>
      <c r="AP8" s="51" t="str" cm="1">
        <f t="array" ref="AP8">_xlfn.TEXTJOIN(", ", TRUE, _xlfn.UNIQUE(IF((AA$2:AA$100 = AK8) * (AH$2:AH$100 = AL8), AF$2:AF$100, "")))</f>
        <v>Poland, Wales, UK, Ireland, Australia, Canada-(CADTH), Canada-(INESSS), England, France-(HAS), Germany, Scotland, Sweden, UK</v>
      </c>
      <c r="AQ8" s="51" t="str" cm="1">
        <f t="array" ref="AQ8">_xlfn.TEXTJOIN(", ", TRUE, _xlfn.UNIQUE(IF((AA$2:AA$100 = AK8) * (AH$2:AH$100 = AL8), AG$2:AG$100, "")))</f>
        <v>(Malinowski et al., 2016), (Linley &amp; Hughes, 2012), (Mauskopf et al., 2013), (Schmitz et al., 2016), (Kanavos et al., 2023), (H. A. Dakin et al., 2006)</v>
      </c>
      <c r="AR8">
        <v>6</v>
      </c>
      <c r="AU8" s="1">
        <v>0</v>
      </c>
      <c r="AV8" s="1" t="str" cm="1">
        <f t="array" ref="AV8">INDEX($AU$1:$AU$100,INT((ROW(A8)-1)/3)+1)</f>
        <v>Validity of outcome measure</v>
      </c>
      <c r="AW8" s="1" t="str" cm="1">
        <f t="array" ref="AW8">INDEX({"OR","RRR","ME"},MOD(ROW(AH8)-1,3)+1)</f>
        <v>RRR</v>
      </c>
      <c r="AY8" s="1" t="str" cm="1">
        <f t="array" ref="AY8">INDEX($AU$1:$AU$100,INT((ROW(A8)-1)/2)+1)</f>
        <v>High Quality of Evidence</v>
      </c>
      <c r="AZ8" s="6" t="str" cm="1">
        <f t="array" ref="AZ8">INDEX({"OR / RRR";"ME"}, MOD(ROW(M8)-1, 2)+1)</f>
        <v>ME</v>
      </c>
    </row>
    <row r="9" spans="1:52" ht="135">
      <c r="A9" s="106" t="s">
        <v>1119</v>
      </c>
      <c r="B9" s="125" t="s">
        <v>897</v>
      </c>
      <c r="C9" s="92" t="s">
        <v>1124</v>
      </c>
      <c r="D9" s="93" t="s">
        <v>879</v>
      </c>
      <c r="E9" s="95">
        <v>0.32</v>
      </c>
      <c r="F9" s="95">
        <v>7.0000000000000007E-2</v>
      </c>
      <c r="G9" s="95">
        <v>1.37</v>
      </c>
      <c r="H9" s="95"/>
      <c r="I9" s="95"/>
      <c r="J9" s="96">
        <v>0.12</v>
      </c>
      <c r="K9" s="96" t="s">
        <v>1125</v>
      </c>
      <c r="L9" s="92" t="s">
        <v>1026</v>
      </c>
      <c r="R9" s="44" t="str">
        <f t="shared" si="0"/>
        <v>Validity of outcome measure</v>
      </c>
      <c r="S9" s="51" t="str">
        <f t="shared" si="1"/>
        <v>RRR</v>
      </c>
      <c r="T9" s="51" t="str">
        <f t="shared" si="13"/>
        <v>0-0</v>
      </c>
      <c r="U9" s="51" t="e" cm="1" vm="1">
        <f t="array" ref="U9">_xlfn.TEXTJOIN(", ", TRUE, _xlfn.UNIQUE(_xlfn._xlws.FILTER(K$2:K$100, (A$2:A$100 = R9) * (D$2:D$100 = S9))))</f>
        <v>#VALUE!</v>
      </c>
      <c r="V9" s="51" t="str" cm="1">
        <f t="array" ref="V9">_xlfn.TEXTJOIN(", ", TRUE, _xlfn.UNIQUE(IF((A$2:A$100 = R9) * (D$2:D$100 = S9), L$2:L$100, "")))</f>
        <v/>
      </c>
      <c r="AA9" s="44" t="str">
        <f t="shared" si="2"/>
        <v>Validity of outcome measure</v>
      </c>
      <c r="AB9" s="51" t="str">
        <f t="shared" si="3"/>
        <v>RRR</v>
      </c>
      <c r="AC9" s="194" t="e">
        <f t="shared" si="5"/>
        <v>#VALUE!</v>
      </c>
      <c r="AD9" s="51" t="str">
        <f t="shared" si="6"/>
        <v>NA</v>
      </c>
      <c r="AE9" s="51" t="str">
        <f t="shared" si="7"/>
        <v>NA</v>
      </c>
      <c r="AF9" s="51" t="str" cm="1">
        <f t="array" ref="AF9">IFERROR(_xlfn.TEXTJOIN(", ", TRUE, _xlfn.UNIQUE(_xlfn._xlws.FILTER(K$2:K$100, (A$2:A$100 = AA9) * (D$2:D$100 = AB9) * ((J$2:J$100 &lt;= 0.05))))), "")</f>
        <v/>
      </c>
      <c r="AG9" s="51" t="str" cm="1">
        <f t="array" ref="AG9">_xlfn.TEXTJOIN(", ", TRUE, _xlfn.UNIQUE(IF((A$2:A$100 = R9) * (D$2:D$100 = S9) * ((J$2:J$100 &lt;= 0.05)), L$2:L$100, "")))</f>
        <v/>
      </c>
      <c r="AH9" s="51" t="str">
        <f t="shared" si="4"/>
        <v>OR / RRR</v>
      </c>
      <c r="AK9" s="44" t="str">
        <f t="shared" si="8"/>
        <v>High Quality of Evidence</v>
      </c>
      <c r="AL9" s="46" t="str">
        <f t="shared" si="9"/>
        <v>ME</v>
      </c>
      <c r="AM9" s="194" t="str">
        <f t="shared" si="10"/>
        <v>0,05-0,4</v>
      </c>
      <c r="AN9" s="200">
        <f t="shared" si="11"/>
        <v>4.5999999999999999E-2</v>
      </c>
      <c r="AO9" s="46">
        <f t="shared" si="12"/>
        <v>0.40100000000000002</v>
      </c>
      <c r="AP9" s="51" t="str" cm="1">
        <f t="array" ref="AP9">_xlfn.TEXTJOIN(", ", TRUE, _xlfn.UNIQUE(IF((AA$2:AA$100 = AK9) * (AH$2:AH$100 = AL9), AF$2:AF$100, "")))</f>
        <v>CANADA-(CADTH), France (HAS), Germany, England, Australia, Scotland, Sweden, Canada (INESS)</v>
      </c>
      <c r="AQ9" s="51" t="str" cm="1">
        <f t="array" ref="AQ9">_xlfn.TEXTJOIN(", ", TRUE, _xlfn.UNIQUE(IF((AA$2:AA$100 = AK9) * (AH$2:AH$100 = AL9), AG$2:AG$100, "")))</f>
        <v>(Kanavos et al., 2023)</v>
      </c>
      <c r="AU9" s="1" t="str">
        <v>Clinical Uncertainties</v>
      </c>
      <c r="AV9" s="1" t="str" cm="1">
        <f t="array" ref="AV9">INDEX($AU$1:$AU$100,INT((ROW(A9)-1)/3)+1)</f>
        <v>Validity of outcome measure</v>
      </c>
      <c r="AW9" s="1" t="str" cm="1">
        <f t="array" ref="AW9">INDEX({"OR","RRR","ME"},MOD(ROW(AH9)-1,3)+1)</f>
        <v>ME</v>
      </c>
      <c r="AY9" s="1" t="str" cm="1">
        <f t="array" ref="AY9">INDEX($AU$1:$AU$100,INT((ROW(A9)-1)/2)+1)</f>
        <v>Indirect Comparison</v>
      </c>
      <c r="AZ9" s="6" t="str" cm="1">
        <f t="array" ref="AZ9">INDEX({"OR / RRR";"ME"}, MOD(ROW(M9)-1, 2)+1)</f>
        <v>OR / RRR</v>
      </c>
    </row>
    <row r="10" spans="1:52" ht="60">
      <c r="A10" s="92" t="s">
        <v>1126</v>
      </c>
      <c r="B10" s="92" t="s">
        <v>907</v>
      </c>
      <c r="C10" s="92" t="s">
        <v>1126</v>
      </c>
      <c r="D10" s="93" t="s">
        <v>879</v>
      </c>
      <c r="E10" s="95">
        <v>5.95</v>
      </c>
      <c r="F10" s="95">
        <v>1.35</v>
      </c>
      <c r="G10" s="95">
        <v>5.47</v>
      </c>
      <c r="H10" s="95"/>
      <c r="I10" s="95"/>
      <c r="J10" s="96">
        <v>0.01</v>
      </c>
      <c r="K10" s="96" t="s">
        <v>365</v>
      </c>
      <c r="L10" s="92" t="s">
        <v>909</v>
      </c>
      <c r="N10" s="87"/>
      <c r="O10" s="88"/>
      <c r="P10" s="89"/>
      <c r="Q10" s="87"/>
      <c r="R10" s="44" t="str">
        <f t="shared" si="0"/>
        <v>Validity of outcome measure</v>
      </c>
      <c r="S10" s="51" t="str">
        <f t="shared" si="1"/>
        <v>ME</v>
      </c>
      <c r="T10" s="51" t="str">
        <f t="shared" si="13"/>
        <v>0-0</v>
      </c>
      <c r="U10" s="51" t="e" cm="1" vm="1">
        <f t="array" ref="U10">_xlfn.TEXTJOIN(", ", TRUE, _xlfn.UNIQUE(_xlfn._xlws.FILTER(K$2:K$100, (A$2:A$100 = R10) * (D$2:D$100 = S10))))</f>
        <v>#VALUE!</v>
      </c>
      <c r="V10" s="51" t="str" cm="1">
        <f t="array" ref="V10">_xlfn.TEXTJOIN(", ", TRUE, _xlfn.UNIQUE(IF((A$2:A$100 = R10) * (D$2:D$100 = S10), L$2:L$100, "")))</f>
        <v/>
      </c>
      <c r="AA10" s="44" t="str">
        <f t="shared" si="2"/>
        <v>Validity of outcome measure</v>
      </c>
      <c r="AB10" s="51" t="str">
        <f t="shared" si="3"/>
        <v>ME</v>
      </c>
      <c r="AC10" s="194" t="e">
        <f t="shared" si="5"/>
        <v>#VALUE!</v>
      </c>
      <c r="AD10" s="51" t="str">
        <f t="shared" si="6"/>
        <v>NA</v>
      </c>
      <c r="AE10" s="51" t="str">
        <f t="shared" si="7"/>
        <v>NA</v>
      </c>
      <c r="AF10" s="51" t="str" cm="1">
        <f t="array" ref="AF10">IFERROR(_xlfn.TEXTJOIN(", ", TRUE, _xlfn.UNIQUE(_xlfn._xlws.FILTER(K$2:K$100, (A$2:A$100 = AA10) * (D$2:D$100 = AB10) * ((J$2:J$100 &lt;= 0.05))))), "")</f>
        <v/>
      </c>
      <c r="AG10" s="51" t="str" cm="1">
        <f t="array" ref="AG10">_xlfn.TEXTJOIN(", ", TRUE, _xlfn.UNIQUE(IF((A$2:A$100 = R10) * (D$2:D$100 = S10) * ((J$2:J$100 &lt;= 0.05)), L$2:L$100, "")))</f>
        <v/>
      </c>
      <c r="AH10" s="51" t="str">
        <f t="shared" si="4"/>
        <v>ME</v>
      </c>
      <c r="AK10" s="44" t="str">
        <f>AY9</f>
        <v>Indirect Comparison</v>
      </c>
      <c r="AL10" s="46" t="str">
        <f>AZ9</f>
        <v>OR / RRR</v>
      </c>
      <c r="AM10" s="194" t="str">
        <f>IF(AN10=AO10, IF(AN10=0, "NO DATA", ROUND(AN10, 2)), ROUND(AN10, 2) &amp; "-" &amp; ROUND(AO10, 2))</f>
        <v>NO DATA</v>
      </c>
      <c r="AN10" s="200">
        <f>_xlfn.MINIFS(AD:AD, AA:AA, AK10, AH:AH, AL10)</f>
        <v>0</v>
      </c>
      <c r="AO10" s="46">
        <f>_xlfn.MAXIFS(AE:AE, AA:AA, AK10, AH:AH, AL10)</f>
        <v>0</v>
      </c>
      <c r="AP10" s="51" t="str" cm="1">
        <f t="array" ref="AP10">_xlfn.TEXTJOIN(", ", TRUE, _xlfn.UNIQUE(IF((AA$2:AA$100 = AK10) * (AH$2:AH$100 = AL10), AF$2:AF$100, "")))</f>
        <v/>
      </c>
      <c r="AQ10" s="51" t="str" cm="1">
        <f t="array" ref="AQ10">_xlfn.TEXTJOIN(", ", TRUE, _xlfn.UNIQUE(IF((AA$2:AA$100 = AK10) * (AH$2:AH$100 = AL10), AG$2:AG$100, "")))</f>
        <v/>
      </c>
      <c r="AU10" s="1" t="str">
        <v>Clinical Guidelines Consistent</v>
      </c>
      <c r="AV10" s="1" t="str" cm="1">
        <f t="array" ref="AV10">INDEX($AU$1:$AU$100,INT((ROW(A10)-1)/3)+1)</f>
        <v>High Quality of Evidence</v>
      </c>
      <c r="AW10" s="1" t="str" cm="1">
        <f t="array" ref="AW10">INDEX({"OR","RRR","ME"},MOD(ROW(AH10)-1,3)+1)</f>
        <v>OR</v>
      </c>
      <c r="AY10" s="1" t="str" cm="1">
        <f t="array" ref="AY10">INDEX($AU$1:$AU$100,INT((ROW(A10)-1)/2)+1)</f>
        <v>Indirect Comparison</v>
      </c>
      <c r="AZ10" s="6" t="str" cm="1">
        <f t="array" ref="AZ10">INDEX({"OR / RRR";"ME"}, MOD(ROW(M10)-1, 2)+1)</f>
        <v>ME</v>
      </c>
    </row>
    <row r="11" spans="1:52" ht="150">
      <c r="A11" s="229" t="s">
        <v>1127</v>
      </c>
      <c r="B11" s="229" t="s">
        <v>878</v>
      </c>
      <c r="C11" s="229" t="s">
        <v>1127</v>
      </c>
      <c r="D11" s="230" t="s">
        <v>891</v>
      </c>
      <c r="E11" s="231">
        <v>4.55</v>
      </c>
      <c r="F11" s="232"/>
      <c r="G11" s="231"/>
      <c r="H11" s="231">
        <v>2.1560000000000001</v>
      </c>
      <c r="I11" s="231"/>
      <c r="J11" s="229">
        <v>0.01</v>
      </c>
      <c r="K11" s="229" t="s">
        <v>987</v>
      </c>
      <c r="L11" s="233" t="s">
        <v>893</v>
      </c>
      <c r="O11" s="88"/>
      <c r="P11" s="90"/>
      <c r="R11" s="44" t="str">
        <f t="shared" si="0"/>
        <v>High Quality of Evidence</v>
      </c>
      <c r="S11" s="51" t="str">
        <f t="shared" si="1"/>
        <v>OR</v>
      </c>
      <c r="T11" s="51" t="str">
        <f t="shared" si="13"/>
        <v>0,07-92,76</v>
      </c>
      <c r="U11" s="51" t="str" cm="1">
        <f t="array" ref="U11">_xlfn.TEXTJOIN(", ", TRUE, _xlfn.UNIQUE(_xlfn._xlws.FILTER(K$2:K$100, (A$2:A$100 = R11) * (D$2:D$100 = S11))))</f>
        <v>Poland, Australia, Wales, UK, Ireland</v>
      </c>
      <c r="V11" s="51" t="str" cm="1">
        <f t="array" ref="V11">_xlfn.TEXTJOIN(", ", TRUE, _xlfn.UNIQUE(IF((A$2:A$100 = R11) * (D$2:D$100 = S11), L$2:L$100, "")))</f>
        <v>(Malinowski et al., 2016), (Merlin et al., 2016), (Linley &amp; Hughes, 2012), (Mauskopf et al., 2013), (Schmitz et al., 2016), (Hill et al., 2022)</v>
      </c>
      <c r="W11">
        <v>6</v>
      </c>
      <c r="AA11" s="44" t="str">
        <f t="shared" si="2"/>
        <v>High Quality of Evidence</v>
      </c>
      <c r="AB11" s="51" t="str">
        <f t="shared" si="3"/>
        <v>OR</v>
      </c>
      <c r="AC11" s="194" t="str">
        <f t="shared" si="5"/>
        <v>0,07-92,76</v>
      </c>
      <c r="AD11" s="51">
        <f t="shared" si="6"/>
        <v>6.9900000000000004E-2</v>
      </c>
      <c r="AE11" s="51">
        <f t="shared" si="7"/>
        <v>92.758561082111768</v>
      </c>
      <c r="AF11" s="51" t="str" cm="1">
        <f t="array" ref="AF11">IFERROR(_xlfn.TEXTJOIN(", ", TRUE, _xlfn.UNIQUE(_xlfn._xlws.FILTER(K$2:K$100, (A$2:A$100 = AA11) * (D$2:D$100 = AB11) * ((J$2:J$100 &lt;= 0.05))))), "")</f>
        <v>Poland, Wales, UK, Ireland</v>
      </c>
      <c r="AG11" s="51" t="str" cm="1">
        <f t="array" ref="AG11">_xlfn.TEXTJOIN(", ", TRUE, _xlfn.UNIQUE(IF((A$2:A$100 = R11) * (D$2:D$100 = S11) * ((J$2:J$100 &lt;= 0.05)), L$2:L$100, "")))</f>
        <v>(Malinowski et al., 2016), (Linley &amp; Hughes, 2012), (Mauskopf et al., 2013), (Schmitz et al., 2016)</v>
      </c>
      <c r="AH11" s="51" t="str">
        <f t="shared" si="4"/>
        <v>OR / RRR</v>
      </c>
      <c r="AK11" s="44" t="str">
        <f t="shared" ref="AK11:AK15" si="14">AY10</f>
        <v>Indirect Comparison</v>
      </c>
      <c r="AL11" s="46" t="str">
        <f t="shared" ref="AL11:AL15" si="15">AZ10</f>
        <v>ME</v>
      </c>
      <c r="AM11" s="194" t="str">
        <f t="shared" ref="AM11:AM15" si="16">IF(AN11=AO11, IF(AN11=0, "NO DATA", ROUND(AN11, 2)), ROUND(AN11, 2) &amp; "-" &amp; ROUND(AO11, 2))</f>
        <v>NO DATA</v>
      </c>
      <c r="AN11" s="200">
        <f t="shared" ref="AN11:AN15" si="17">_xlfn.MINIFS(AD:AD, AA:AA, AK11, AH:AH, AL11)</f>
        <v>0</v>
      </c>
      <c r="AO11" s="46">
        <f t="shared" ref="AO11:AO15" si="18">_xlfn.MAXIFS(AE:AE, AA:AA, AK11, AH:AH, AL11)</f>
        <v>0</v>
      </c>
      <c r="AP11" s="51" t="str" cm="1">
        <f t="array" ref="AP11">_xlfn.TEXTJOIN(", ", TRUE, _xlfn.UNIQUE(IF((AA$2:AA$100 = AK11) * (AH$2:AH$100 = AL11), AF$2:AF$100, "")))</f>
        <v/>
      </c>
      <c r="AQ11" s="51" t="str" cm="1">
        <f t="array" ref="AQ11">_xlfn.TEXTJOIN(", ", TRUE, _xlfn.UNIQUE(IF((AA$2:AA$100 = AK11) * (AH$2:AH$100 = AL11), AG$2:AG$100, "")))</f>
        <v/>
      </c>
      <c r="AU11" s="1" t="str">
        <v>Number of Patients</v>
      </c>
      <c r="AV11" s="1" t="str" cm="1">
        <f t="array" ref="AV11">INDEX($AU$1:$AU$100,INT((ROW(A11)-1)/3)+1)</f>
        <v>High Quality of Evidence</v>
      </c>
      <c r="AW11" s="1" t="str" cm="1">
        <f t="array" ref="AW11">INDEX({"OR","RRR","ME"},MOD(ROW(AH11)-1,3)+1)</f>
        <v>RRR</v>
      </c>
      <c r="AY11" s="1" t="str" cm="1">
        <f t="array" ref="AY11">INDEX($AU$1:$AU$100,INT((ROW(A11)-1)/2)+1)</f>
        <v>Quality of Submission - acceptable</v>
      </c>
      <c r="AZ11" s="6" t="str" cm="1">
        <f t="array" ref="AZ11">INDEX({"OR / RRR";"ME"}, MOD(ROW(M11)-1, 2)+1)</f>
        <v>OR / RRR</v>
      </c>
    </row>
    <row r="12" spans="1:52" ht="75">
      <c r="A12" s="229" t="s">
        <v>1127</v>
      </c>
      <c r="B12" s="229" t="s">
        <v>878</v>
      </c>
      <c r="C12" s="229" t="s">
        <v>1127</v>
      </c>
      <c r="D12" s="230" t="s">
        <v>894</v>
      </c>
      <c r="E12" s="232">
        <v>9.2999999999999999E-2</v>
      </c>
      <c r="F12" s="231">
        <f t="shared" ref="F12:F13" si="19">E12-1.96*H12</f>
        <v>6.5560000000000007E-2</v>
      </c>
      <c r="G12" s="231">
        <f t="shared" ref="G12:G13" si="20">E12+1.96*H12</f>
        <v>0.12043999999999999</v>
      </c>
      <c r="H12" s="231">
        <v>1.4E-2</v>
      </c>
      <c r="I12" s="231"/>
      <c r="J12" s="229">
        <v>0.01</v>
      </c>
      <c r="K12" s="229" t="s">
        <v>960</v>
      </c>
      <c r="L12" s="233" t="s">
        <v>893</v>
      </c>
      <c r="R12" s="44" t="str">
        <f t="shared" si="0"/>
        <v>High Quality of Evidence</v>
      </c>
      <c r="S12" s="51" t="str">
        <f t="shared" si="1"/>
        <v>RRR</v>
      </c>
      <c r="T12" s="51" t="str">
        <f t="shared" si="13"/>
        <v>1,11-4,55</v>
      </c>
      <c r="U12" s="51" t="str" cm="1">
        <f t="array" ref="U12">_xlfn.TEXTJOIN(", ", TRUE, _xlfn.UNIQUE(_xlfn._xlws.FILTER(K$2:K$100, (A$2:A$100 = R12) * (D$2:D$100 = S12))))</f>
        <v>Australia, Canada-(CADTH), Canada-(INESSS), England, France-(HAS), Germany, Scotland, Sweden, UK</v>
      </c>
      <c r="V12" s="51" t="str" cm="1">
        <f t="array" ref="V12">_xlfn.TEXTJOIN(", ", TRUE, _xlfn.UNIQUE(IF((A$2:A$100 = R12) * (D$2:D$100 = S12), L$2:L$100, "")))</f>
        <v>(Kanavos et al., 2023), (H. A. Dakin et al., 2006)</v>
      </c>
      <c r="W12">
        <v>2</v>
      </c>
      <c r="AA12" s="44" t="str">
        <f t="shared" si="2"/>
        <v>High Quality of Evidence</v>
      </c>
      <c r="AB12" s="51" t="str">
        <f t="shared" si="3"/>
        <v>RRR</v>
      </c>
      <c r="AC12" s="194" t="str">
        <f t="shared" si="5"/>
        <v>1,11-4,55</v>
      </c>
      <c r="AD12" s="51">
        <f t="shared" si="6"/>
        <v>1.1128421989761852</v>
      </c>
      <c r="AE12" s="51">
        <f t="shared" si="7"/>
        <v>4.55</v>
      </c>
      <c r="AF12" s="51" t="str" cm="1">
        <f t="array" ref="AF12">IFERROR(_xlfn.TEXTJOIN(", ", TRUE, _xlfn.UNIQUE(_xlfn._xlws.FILTER(K$2:K$100, (A$2:A$100 = AA12) * (D$2:D$100 = AB12) * ((J$2:J$100 &lt;= 0.05))))), "")</f>
        <v>Australia, Canada-(CADTH), Canada-(INESSS), England, France-(HAS), Germany, Scotland, Sweden, UK</v>
      </c>
      <c r="AG12" s="51" t="str" cm="1">
        <f t="array" ref="AG12">_xlfn.TEXTJOIN(", ", TRUE, _xlfn.UNIQUE(IF((A$2:A$100 = R12) * (D$2:D$100 = S12) * ((J$2:J$100 &lt;= 0.05)), L$2:L$100, "")))</f>
        <v>(Kanavos et al., 2023), (H. A. Dakin et al., 2006)</v>
      </c>
      <c r="AH12" s="51" t="str">
        <f t="shared" si="4"/>
        <v>OR / RRR</v>
      </c>
      <c r="AK12" s="44" t="str">
        <f t="shared" si="14"/>
        <v>Quality of Submission - acceptable</v>
      </c>
      <c r="AL12" s="46" t="str">
        <f t="shared" si="15"/>
        <v>OR / RRR</v>
      </c>
      <c r="AM12" s="194" t="str">
        <f t="shared" si="16"/>
        <v>4,75-5,44</v>
      </c>
      <c r="AN12" s="200">
        <f t="shared" si="17"/>
        <v>4.7478871902003608</v>
      </c>
      <c r="AO12" s="46">
        <f t="shared" si="18"/>
        <v>5.44</v>
      </c>
      <c r="AP12" s="51" t="str" cm="1">
        <f t="array" ref="AP12">_xlfn.TEXTJOIN(", ", TRUE, _xlfn.UNIQUE(IF((AA$2:AA$100 = AK12) * (AH$2:AH$100 = AL12), AF$2:AF$100, "")))</f>
        <v>Poland</v>
      </c>
      <c r="AQ12" s="51" t="str" cm="1">
        <f t="array" ref="AQ12">_xlfn.TEXTJOIN(", ", TRUE, _xlfn.UNIQUE(IF((AA$2:AA$100 = AK12) * (AH$2:AH$100 = AL12), AG$2:AG$100, "")))</f>
        <v>(Kawalec et al., 2018), (Niewada et al., 2013)</v>
      </c>
      <c r="AU12" s="1" t="str">
        <v>Meta-Analysis Presence</v>
      </c>
      <c r="AV12" s="1" t="str" cm="1">
        <f t="array" ref="AV12">INDEX($AU$1:$AU$100,INT((ROW(A12)-1)/3)+1)</f>
        <v>High Quality of Evidence</v>
      </c>
      <c r="AW12" s="1" t="str" cm="1">
        <f t="array" ref="AW12">INDEX({"OR","RRR","ME"},MOD(ROW(AH12)-1,3)+1)</f>
        <v>ME</v>
      </c>
      <c r="AY12" s="1" t="str" cm="1">
        <f t="array" ref="AY12">INDEX($AU$1:$AU$100,INT((ROW(A12)-1)/2)+1)</f>
        <v>Quality of Submission - acceptable</v>
      </c>
      <c r="AZ12" s="6" t="str" cm="1">
        <f t="array" ref="AZ12">INDEX({"OR / RRR";"ME"}, MOD(ROW(M12)-1, 2)+1)</f>
        <v>ME</v>
      </c>
    </row>
    <row r="13" spans="1:52" ht="60">
      <c r="A13" s="229" t="s">
        <v>1127</v>
      </c>
      <c r="B13" s="229" t="s">
        <v>878</v>
      </c>
      <c r="C13" s="229" t="s">
        <v>1127</v>
      </c>
      <c r="D13" s="230" t="s">
        <v>894</v>
      </c>
      <c r="E13" s="231">
        <v>0.27800000000000002</v>
      </c>
      <c r="F13" s="231">
        <f t="shared" si="19"/>
        <v>0.15256000000000003</v>
      </c>
      <c r="G13" s="231">
        <f t="shared" si="20"/>
        <v>0.40344000000000002</v>
      </c>
      <c r="H13" s="231">
        <v>6.4000000000000001E-2</v>
      </c>
      <c r="I13" s="231"/>
      <c r="J13" s="229">
        <v>0.01</v>
      </c>
      <c r="K13" s="229" t="s">
        <v>1128</v>
      </c>
      <c r="L13" s="233" t="s">
        <v>893</v>
      </c>
      <c r="R13" s="44" t="str">
        <f t="shared" si="0"/>
        <v>High Quality of Evidence</v>
      </c>
      <c r="S13" s="51" t="str">
        <f t="shared" si="1"/>
        <v>ME</v>
      </c>
      <c r="T13" s="51" t="str">
        <f t="shared" si="13"/>
        <v>0,04-0,4</v>
      </c>
      <c r="U13" s="51" t="str" cm="1">
        <f t="array" ref="U13">_xlfn.TEXTJOIN(", ", TRUE, _xlfn.UNIQUE(_xlfn._xlws.FILTER(K$2:K$100, (A$2:A$100 = R13) * (D$2:D$100 = S13))))</f>
        <v>CANADA-(CADTH), France (HAS), Germany, England, Australia, Scotland, Sweden, Canada (INESS)</v>
      </c>
      <c r="V13" s="51" t="str" cm="1">
        <f t="array" ref="V13">_xlfn.TEXTJOIN(", ", TRUE, _xlfn.UNIQUE(IF((A$2:A$100 = R13) * (D$2:D$100 = S13), L$2:L$100, "")))</f>
        <v>(Kanavos et al., 2023), (A. H. Harris et al., 2008)</v>
      </c>
      <c r="W13">
        <v>2</v>
      </c>
      <c r="AA13" s="44" t="str">
        <f t="shared" si="2"/>
        <v>High Quality of Evidence</v>
      </c>
      <c r="AB13" s="51" t="str">
        <f t="shared" si="3"/>
        <v>ME</v>
      </c>
      <c r="AC13" s="194" t="str">
        <f t="shared" si="5"/>
        <v>0,05-0,4</v>
      </c>
      <c r="AD13" s="51">
        <f t="shared" si="6"/>
        <v>4.5999999999999999E-2</v>
      </c>
      <c r="AE13" s="51">
        <f t="shared" si="7"/>
        <v>0.40100000000000002</v>
      </c>
      <c r="AF13" s="51" t="str" cm="1">
        <f t="array" ref="AF13">IFERROR(_xlfn.TEXTJOIN(", ", TRUE, _xlfn.UNIQUE(_xlfn._xlws.FILTER(K$2:K$100, (A$2:A$100 = AA13) * (D$2:D$100 = AB13) * ((J$2:J$100 &lt;= 0.05))))), "")</f>
        <v>CANADA-(CADTH), France (HAS), Germany, England, Australia, Scotland, Sweden, Canada (INESS)</v>
      </c>
      <c r="AG13" s="51" t="str" cm="1">
        <f t="array" ref="AG13">_xlfn.TEXTJOIN(", ", TRUE, _xlfn.UNIQUE(IF((A$2:A$100 = R13) * (D$2:D$100 = S13) * ((J$2:J$100 &lt;= 0.05)), L$2:L$100, "")))</f>
        <v>(Kanavos et al., 2023)</v>
      </c>
      <c r="AH13" s="51" t="str">
        <f t="shared" si="4"/>
        <v>ME</v>
      </c>
      <c r="AK13" s="44" t="str">
        <f t="shared" si="14"/>
        <v>Quality of Submission - acceptable</v>
      </c>
      <c r="AL13" s="46" t="str">
        <f t="shared" si="15"/>
        <v>ME</v>
      </c>
      <c r="AM13" s="194" t="str">
        <f t="shared" si="16"/>
        <v>NO DATA</v>
      </c>
      <c r="AN13" s="200">
        <f t="shared" si="17"/>
        <v>0</v>
      </c>
      <c r="AO13" s="46">
        <f t="shared" si="18"/>
        <v>0</v>
      </c>
      <c r="AP13" s="51" t="str" cm="1">
        <f t="array" ref="AP13">_xlfn.TEXTJOIN(", ", TRUE, _xlfn.UNIQUE(IF((AA$2:AA$100 = AK13) * (AH$2:AH$100 = AL13), AF$2:AF$100, "")))</f>
        <v/>
      </c>
      <c r="AQ13" s="51" t="str" cm="1">
        <f t="array" ref="AQ13">_xlfn.TEXTJOIN(", ", TRUE, _xlfn.UNIQUE(IF((AA$2:AA$100 = AK13) * (AH$2:AH$100 = AL13), AG$2:AG$100, "")))</f>
        <v/>
      </c>
      <c r="AU13" s="1" t="str">
        <v>Number of Systematic Reviews</v>
      </c>
      <c r="AV13" s="1" t="str" cm="1">
        <f t="array" ref="AV13">INDEX($AU$1:$AU$100,INT((ROW(A13)-1)/3)+1)</f>
        <v>Indirect Comparison</v>
      </c>
      <c r="AW13" s="1" t="str" cm="1">
        <f t="array" ref="AW13">INDEX({"OR","RRR","ME"},MOD(ROW(AH13)-1,3)+1)</f>
        <v>OR</v>
      </c>
      <c r="AY13" s="1" t="str" cm="1">
        <f t="array" ref="AY13">INDEX($AU$1:$AU$100,INT((ROW(A13)-1)/2)+1)</f>
        <v>Surrogate Endpoint</v>
      </c>
      <c r="AZ13" s="6" t="str" cm="1">
        <f t="array" ref="AZ13">INDEX({"OR / RRR";"ME"}, MOD(ROW(M13)-1, 2)+1)</f>
        <v>OR / RRR</v>
      </c>
    </row>
    <row r="14" spans="1:52" ht="45">
      <c r="A14" s="229" t="s">
        <v>1127</v>
      </c>
      <c r="B14" s="229" t="s">
        <v>878</v>
      </c>
      <c r="C14" s="229" t="s">
        <v>1127</v>
      </c>
      <c r="D14" s="230" t="s">
        <v>894</v>
      </c>
      <c r="E14" s="231">
        <v>0.27200000000000002</v>
      </c>
      <c r="F14" s="231">
        <f>E14-1.96*H14</f>
        <v>0.15244000000000002</v>
      </c>
      <c r="G14" s="231">
        <f>E14+1.96*H14</f>
        <v>0.39156000000000002</v>
      </c>
      <c r="H14" s="231">
        <v>6.0999999999999999E-2</v>
      </c>
      <c r="I14" s="231"/>
      <c r="J14" s="229">
        <v>0.01</v>
      </c>
      <c r="K14" s="229" t="s">
        <v>50</v>
      </c>
      <c r="L14" s="233" t="s">
        <v>893</v>
      </c>
      <c r="R14" s="44" t="str">
        <f t="shared" si="0"/>
        <v>Indirect Comparison</v>
      </c>
      <c r="S14" s="51" t="str">
        <f t="shared" si="1"/>
        <v>OR</v>
      </c>
      <c r="T14" s="51" t="str">
        <f t="shared" si="13"/>
        <v>0,6-1,03</v>
      </c>
      <c r="U14" s="51" t="str" cm="1">
        <f t="array" ref="U14">_xlfn.TEXTJOIN(", ", TRUE, _xlfn.UNIQUE(_xlfn._xlws.FILTER(K$2:K$100, (A$2:A$100 = R14) * (D$2:D$100 = S14))))</f>
        <v>Sweden, Australia</v>
      </c>
      <c r="V14" s="51" t="str" cm="1">
        <f t="array" ref="V14">_xlfn.TEXTJOIN(", ", TRUE, _xlfn.UNIQUE(IF((A$2:A$100 = R14) * (D$2:D$100 = S14), L$2:L$100, "")))</f>
        <v>(Strand et al., 2022), Haque et al., 2023)</v>
      </c>
      <c r="AA14" s="44" t="str">
        <f t="shared" si="2"/>
        <v>Indirect Comparison</v>
      </c>
      <c r="AB14" s="51" t="str">
        <f t="shared" si="3"/>
        <v>OR</v>
      </c>
      <c r="AC14" s="194" t="e">
        <f t="shared" si="5"/>
        <v>#VALUE!</v>
      </c>
      <c r="AD14" s="51" t="str">
        <f t="shared" si="6"/>
        <v>NA</v>
      </c>
      <c r="AE14" s="51" t="str">
        <f t="shared" si="7"/>
        <v>NA</v>
      </c>
      <c r="AF14" s="51" t="str" cm="1">
        <f t="array" ref="AF14">IFERROR(_xlfn.TEXTJOIN(", ", TRUE, _xlfn.UNIQUE(_xlfn._xlws.FILTER(K$2:K$100, (A$2:A$100 = AA14) * (D$2:D$100 = AB14) * ((J$2:J$100 &lt;= 0.05))))), "")</f>
        <v/>
      </c>
      <c r="AG14" s="51" t="str" cm="1">
        <f t="array" ref="AG14">_xlfn.TEXTJOIN(", ", TRUE, _xlfn.UNIQUE(IF((A$2:A$100 = R14) * (D$2:D$100 = S14) * ((J$2:J$100 &lt;= 0.05)), L$2:L$100, "")))</f>
        <v/>
      </c>
      <c r="AH14" s="51" t="str">
        <f t="shared" si="4"/>
        <v>OR / RRR</v>
      </c>
      <c r="AK14" s="44" t="str">
        <f t="shared" si="14"/>
        <v>Surrogate Endpoint</v>
      </c>
      <c r="AL14" s="46" t="str">
        <f t="shared" si="15"/>
        <v>OR / RRR</v>
      </c>
      <c r="AM14" s="194" t="str">
        <f t="shared" si="16"/>
        <v>NO DATA</v>
      </c>
      <c r="AN14" s="200">
        <f t="shared" si="17"/>
        <v>0</v>
      </c>
      <c r="AO14" s="46">
        <f t="shared" si="18"/>
        <v>0</v>
      </c>
      <c r="AP14" s="51" t="str" cm="1">
        <f t="array" ref="AP14">_xlfn.TEXTJOIN(", ", TRUE, _xlfn.UNIQUE(IF((AA$2:AA$100 = AK14) * (AH$2:AH$100 = AL14), AF$2:AF$100, "")))</f>
        <v/>
      </c>
      <c r="AQ14" s="51" t="str" cm="1">
        <f t="array" ref="AQ14">_xlfn.TEXTJOIN(", ", TRUE, _xlfn.UNIQUE(IF((AA$2:AA$100 = AK14) * (AH$2:AH$100 = AL14), AG$2:AG$100, "")))</f>
        <v/>
      </c>
      <c r="AU14" s="1" t="str">
        <v>Number of Observational Studies</v>
      </c>
      <c r="AV14" s="1" t="str" cm="1">
        <f t="array" ref="AV14">INDEX($AU$1:$AU$100,INT((ROW(A14)-1)/3)+1)</f>
        <v>Indirect Comparison</v>
      </c>
      <c r="AW14" s="1" t="str" cm="1">
        <f t="array" ref="AW14">INDEX({"OR","RRR","ME"},MOD(ROW(AH14)-1,3)+1)</f>
        <v>RRR</v>
      </c>
      <c r="AY14" s="1" t="str" cm="1">
        <f t="array" ref="AY14">INDEX($AU$1:$AU$100,INT((ROW(A14)-1)/2)+1)</f>
        <v>Surrogate Endpoint</v>
      </c>
      <c r="AZ14" s="6" t="str" cm="1">
        <f t="array" ref="AZ14">INDEX({"OR / RRR";"ME"}, MOD(ROW(M14)-1, 2)+1)</f>
        <v>ME</v>
      </c>
    </row>
    <row r="15" spans="1:52" ht="133.5" customHeight="1">
      <c r="A15" s="229" t="s">
        <v>1127</v>
      </c>
      <c r="B15" s="229" t="s">
        <v>878</v>
      </c>
      <c r="C15" s="229" t="s">
        <v>1127</v>
      </c>
      <c r="D15" s="230" t="s">
        <v>894</v>
      </c>
      <c r="E15" s="231">
        <v>0.11</v>
      </c>
      <c r="F15" s="231">
        <f t="shared" ref="F15:F18" si="21">E15-1.96*H15</f>
        <v>3.1600000000000003E-2</v>
      </c>
      <c r="G15" s="231">
        <f t="shared" ref="G15:G18" si="22">E15+1.96*H15</f>
        <v>0.18840000000000001</v>
      </c>
      <c r="H15" s="231">
        <v>0.04</v>
      </c>
      <c r="I15" s="231"/>
      <c r="J15" s="229">
        <v>0.01</v>
      </c>
      <c r="K15" s="229" t="s">
        <v>86</v>
      </c>
      <c r="L15" s="233" t="s">
        <v>893</v>
      </c>
      <c r="R15" s="44" t="str">
        <f t="shared" si="0"/>
        <v>Indirect Comparison</v>
      </c>
      <c r="S15" s="51" t="str">
        <f t="shared" si="1"/>
        <v>RRR</v>
      </c>
      <c r="T15" s="51" t="str">
        <f t="shared" si="13"/>
        <v>0-0</v>
      </c>
      <c r="U15" s="51" t="e" cm="1" vm="1">
        <f t="array" ref="U15">_xlfn.TEXTJOIN(", ", TRUE, _xlfn.UNIQUE(_xlfn._xlws.FILTER(K$2:K$100, (A$2:A$100 = R15) * (D$2:D$100 = S15))))</f>
        <v>#VALUE!</v>
      </c>
      <c r="V15" s="51" t="str" cm="1">
        <f t="array" ref="V15">_xlfn.TEXTJOIN(", ", TRUE, _xlfn.UNIQUE(IF((A$2:A$100 = R15) * (D$2:D$100 = S15), L$2:L$100, "")))</f>
        <v/>
      </c>
      <c r="AA15" s="44" t="str">
        <f t="shared" si="2"/>
        <v>Indirect Comparison</v>
      </c>
      <c r="AB15" s="51" t="str">
        <f t="shared" si="3"/>
        <v>RRR</v>
      </c>
      <c r="AC15" s="194" t="e">
        <f t="shared" si="5"/>
        <v>#VALUE!</v>
      </c>
      <c r="AD15" s="51" t="str">
        <f t="shared" si="6"/>
        <v>NA</v>
      </c>
      <c r="AE15" s="51" t="str">
        <f t="shared" si="7"/>
        <v>NA</v>
      </c>
      <c r="AF15" s="51" t="str" cm="1">
        <f t="array" ref="AF15">IFERROR(_xlfn.TEXTJOIN(", ", TRUE, _xlfn.UNIQUE(_xlfn._xlws.FILTER(K$2:K$100, (A$2:A$100 = AA15) * (D$2:D$100 = AB15) * ((J$2:J$100 &lt;= 0.05))))), "")</f>
        <v/>
      </c>
      <c r="AG15" s="51" t="str" cm="1">
        <f t="array" ref="AG15">_xlfn.TEXTJOIN(", ", TRUE, _xlfn.UNIQUE(IF((A$2:A$100 = R15) * (D$2:D$100 = S15) * ((J$2:J$100 &lt;= 0.05)), L$2:L$100, "")))</f>
        <v/>
      </c>
      <c r="AH15" s="51" t="str">
        <f t="shared" si="4"/>
        <v>OR / RRR</v>
      </c>
      <c r="AK15" s="44" t="str">
        <f t="shared" si="14"/>
        <v>Surrogate Endpoint</v>
      </c>
      <c r="AL15" s="46" t="str">
        <f t="shared" si="15"/>
        <v>ME</v>
      </c>
      <c r="AM15" s="194" t="str">
        <f t="shared" si="16"/>
        <v>NO DATA</v>
      </c>
      <c r="AN15" s="200">
        <f t="shared" si="17"/>
        <v>0</v>
      </c>
      <c r="AO15" s="46">
        <f t="shared" si="18"/>
        <v>0</v>
      </c>
      <c r="AP15" s="51" t="str" cm="1">
        <f t="array" ref="AP15">_xlfn.TEXTJOIN(", ", TRUE, _xlfn.UNIQUE(IF((AA$2:AA$100 = AK15) * (AH$2:AH$100 = AL15), AF$2:AF$100, "")))</f>
        <v/>
      </c>
      <c r="AQ15" s="51" t="str" cm="1">
        <f t="array" ref="AQ15">_xlfn.TEXTJOIN(", ", TRUE, _xlfn.UNIQUE(IF((AA$2:AA$100 = AK15) * (AH$2:AH$100 = AL15), AG$2:AG$100, "")))</f>
        <v/>
      </c>
      <c r="AU15" s="1" t="str">
        <v>Number of Studies</v>
      </c>
      <c r="AV15" s="1" t="str" cm="1">
        <f t="array" ref="AV15">INDEX($AU$1:$AU$100,INT((ROW(A15)-1)/3)+1)</f>
        <v>Indirect Comparison</v>
      </c>
      <c r="AW15" s="1" t="str" cm="1">
        <f t="array" ref="AW15">INDEX({"OR","RRR","ME"},MOD(ROW(AH15)-1,3)+1)</f>
        <v>ME</v>
      </c>
      <c r="AY15" s="1"/>
      <c r="AZ15" s="6"/>
    </row>
    <row r="16" spans="1:52" ht="45">
      <c r="A16" s="229" t="s">
        <v>1127</v>
      </c>
      <c r="B16" s="229" t="s">
        <v>878</v>
      </c>
      <c r="C16" s="229" t="s">
        <v>1127</v>
      </c>
      <c r="D16" s="230" t="s">
        <v>894</v>
      </c>
      <c r="E16" s="231">
        <v>4.5999999999999999E-2</v>
      </c>
      <c r="F16" s="231">
        <f t="shared" si="21"/>
        <v>2.052E-2</v>
      </c>
      <c r="G16" s="231">
        <f t="shared" si="22"/>
        <v>7.1480000000000002E-2</v>
      </c>
      <c r="H16" s="231">
        <v>1.2999999999999999E-2</v>
      </c>
      <c r="I16" s="231"/>
      <c r="J16" s="229">
        <v>0.01</v>
      </c>
      <c r="K16" s="229" t="s">
        <v>365</v>
      </c>
      <c r="L16" s="233" t="s">
        <v>893</v>
      </c>
      <c r="R16" s="44" t="str">
        <f t="shared" si="0"/>
        <v>Indirect Comparison</v>
      </c>
      <c r="S16" s="51" t="str">
        <f t="shared" si="1"/>
        <v>ME</v>
      </c>
      <c r="T16" s="51" t="str">
        <f t="shared" si="13"/>
        <v>0-0</v>
      </c>
      <c r="U16" s="51" t="e" cm="1" vm="1">
        <f t="array" ref="U16">_xlfn.TEXTJOIN(", ", TRUE, _xlfn.UNIQUE(_xlfn._xlws.FILTER(K$2:K$100, (A$2:A$100 = R16) * (D$2:D$100 = S16))))</f>
        <v>#VALUE!</v>
      </c>
      <c r="V16" s="51" t="str" cm="1">
        <f t="array" ref="V16">_xlfn.TEXTJOIN(", ", TRUE, _xlfn.UNIQUE(IF((A$2:A$100 = R16) * (D$2:D$100 = S16), L$2:L$100, "")))</f>
        <v/>
      </c>
      <c r="AA16" s="44" t="str">
        <f t="shared" si="2"/>
        <v>Indirect Comparison</v>
      </c>
      <c r="AB16" s="51" t="str">
        <f t="shared" si="3"/>
        <v>ME</v>
      </c>
      <c r="AC16" s="194" t="e">
        <f t="shared" si="5"/>
        <v>#VALUE!</v>
      </c>
      <c r="AD16" s="51" t="str">
        <f t="shared" si="6"/>
        <v>NA</v>
      </c>
      <c r="AE16" s="51" t="str">
        <f t="shared" si="7"/>
        <v>NA</v>
      </c>
      <c r="AF16" s="51" t="str" cm="1">
        <f t="array" ref="AF16">IFERROR(_xlfn.TEXTJOIN(", ", TRUE, _xlfn.UNIQUE(_xlfn._xlws.FILTER(K$2:K$100, (A$2:A$100 = AA16) * (D$2:D$100 = AB16) * ((J$2:J$100 &lt;= 0.05))))), "")</f>
        <v/>
      </c>
      <c r="AG16" s="51" t="str" cm="1">
        <f t="array" ref="AG16">_xlfn.TEXTJOIN(", ", TRUE, _xlfn.UNIQUE(IF((A$2:A$100 = R16) * (D$2:D$100 = S16) * ((J$2:J$100 &lt;= 0.05)), L$2:L$100, "")))</f>
        <v/>
      </c>
      <c r="AH16" s="51" t="str">
        <f t="shared" si="4"/>
        <v>ME</v>
      </c>
      <c r="AK16" s="209">
        <f>AY15</f>
        <v>0</v>
      </c>
      <c r="AL16" s="210">
        <f>AZ15</f>
        <v>0</v>
      </c>
      <c r="AM16" s="211" t="str">
        <f>IF(AN16=AO16, IF(AN16=0, "NO DATA", ROUND(AN16, 2)), ROUND(AN16, 2) &amp; "-" &amp; ROUND(AO16, 2))</f>
        <v>NO DATA</v>
      </c>
      <c r="AN16" s="212">
        <f>_xlfn.MINIFS(AD:AD, AA:AA, AK16, AH:AH, AL16)</f>
        <v>0</v>
      </c>
      <c r="AO16" s="210">
        <f>_xlfn.MAXIFS(AE:AE, AA:AA, AK16, AH:AH, AL16)</f>
        <v>0</v>
      </c>
      <c r="AP16" s="213" t="str" cm="1">
        <f t="array" ref="AP16">_xlfn.TEXTJOIN(", ", TRUE, _xlfn.UNIQUE(IF((AA$2:AA$100 = AK16) * (AH$2:AH$100 = AL16), AF$2:AF$100, "")))</f>
        <v>0</v>
      </c>
      <c r="AQ16" s="213" t="str" cm="1">
        <f t="array" ref="AQ16">_xlfn.TEXTJOIN(", ", TRUE, _xlfn.UNIQUE(IF((AA$2:AA$100 = AK16) * (AH$2:AH$100 = AL16), AG$2:AG$100, "")))</f>
        <v>0</v>
      </c>
      <c r="AU16" s="1" t="str">
        <v>Availability of Head-to-Head Trials</v>
      </c>
      <c r="AV16" s="1" t="str" cm="1">
        <f t="array" ref="AV16">INDEX($AU$1:$AU$100,INT((ROW(A16)-1)/3)+1)</f>
        <v>Quality of Submission - acceptable</v>
      </c>
      <c r="AW16" s="1" t="str" cm="1">
        <f t="array" ref="AW16">INDEX({"OR","RRR","ME"},MOD(ROW(AH16)-1,3)+1)</f>
        <v>OR</v>
      </c>
      <c r="AY16" s="1"/>
      <c r="AZ16" s="6"/>
    </row>
    <row r="17" spans="1:49" ht="45">
      <c r="A17" s="229" t="s">
        <v>1127</v>
      </c>
      <c r="B17" s="229" t="s">
        <v>878</v>
      </c>
      <c r="C17" s="229" t="s">
        <v>1127</v>
      </c>
      <c r="D17" s="230" t="s">
        <v>894</v>
      </c>
      <c r="E17" s="231">
        <v>0.36599999999999999</v>
      </c>
      <c r="F17" s="231">
        <f t="shared" si="21"/>
        <v>0.26604</v>
      </c>
      <c r="G17" s="231">
        <f t="shared" si="22"/>
        <v>0.46595999999999999</v>
      </c>
      <c r="H17" s="231">
        <v>5.0999999999999997E-2</v>
      </c>
      <c r="I17" s="231"/>
      <c r="J17" s="229">
        <v>0.01</v>
      </c>
      <c r="K17" s="229" t="s">
        <v>548</v>
      </c>
      <c r="L17" s="233" t="s">
        <v>893</v>
      </c>
      <c r="R17" s="44" t="str">
        <f t="shared" si="0"/>
        <v>Quality of Submission - acceptable</v>
      </c>
      <c r="S17" s="51" t="str">
        <f t="shared" si="1"/>
        <v>OR</v>
      </c>
      <c r="T17" s="51" t="str">
        <f t="shared" si="13"/>
        <v>4,75-5,44</v>
      </c>
      <c r="U17" s="51" t="str" cm="1">
        <f t="array" ref="U17">_xlfn.TEXTJOIN(", ", TRUE, _xlfn.UNIQUE(_xlfn._xlws.FILTER(K$2:K$100, (A$2:A$100 = R17) * (D$2:D$100 = S17))))</f>
        <v>Poland</v>
      </c>
      <c r="V17" s="51" t="str" cm="1">
        <f t="array" ref="V17">_xlfn.TEXTJOIN(", ", TRUE, _xlfn.UNIQUE(IF((A$2:A$100 = R17) * (D$2:D$100 = S17), L$2:L$100, "")))</f>
        <v>(Kawalec et al., 2018), (Niewada et al., 2013)</v>
      </c>
      <c r="AA17" s="44" t="str">
        <f t="shared" si="2"/>
        <v>Quality of Submission - acceptable</v>
      </c>
      <c r="AB17" s="51" t="str">
        <f t="shared" si="3"/>
        <v>OR</v>
      </c>
      <c r="AC17" s="194" t="str">
        <f t="shared" si="5"/>
        <v>4,75-5,44</v>
      </c>
      <c r="AD17" s="51">
        <f t="shared" si="6"/>
        <v>4.7478871902003608</v>
      </c>
      <c r="AE17" s="51">
        <f t="shared" si="7"/>
        <v>5.44</v>
      </c>
      <c r="AF17" s="51" t="str" cm="1">
        <f t="array" ref="AF17">IFERROR(_xlfn.TEXTJOIN(", ", TRUE, _xlfn.UNIQUE(_xlfn._xlws.FILTER(K$2:K$100, (A$2:A$100 = AA17) * (D$2:D$100 = AB17) * ((J$2:J$100 &lt;= 0.05))))), "")</f>
        <v>Poland</v>
      </c>
      <c r="AG17" s="51" t="str" cm="1">
        <f t="array" ref="AG17">_xlfn.TEXTJOIN(", ", TRUE, _xlfn.UNIQUE(IF((A$2:A$100 = R17) * (D$2:D$100 = S17) * ((J$2:J$100 &lt;= 0.05)), L$2:L$100, "")))</f>
        <v>(Kawalec et al., 2018), (Niewada et al., 2013)</v>
      </c>
      <c r="AH17" s="51" t="str">
        <f t="shared" si="4"/>
        <v>OR / RRR</v>
      </c>
      <c r="AK17" s="209">
        <f t="shared" ref="AK17:AK23" si="23">AY16</f>
        <v>0</v>
      </c>
      <c r="AL17" s="210">
        <f t="shared" ref="AL17:AL23" si="24">AZ16</f>
        <v>0</v>
      </c>
      <c r="AM17" s="211" t="str">
        <f t="shared" ref="AM17:AM23" si="25">IF(AN17=AO17, IF(AN17=0, "NO DATA", ROUND(AN17, 2)), ROUND(AN17, 2) &amp; "-" &amp; ROUND(AO17, 2))</f>
        <v>NO DATA</v>
      </c>
      <c r="AN17" s="212">
        <f t="shared" ref="AN17:AN23" si="26">_xlfn.MINIFS(AD:AD, AA:AA, AK17, AH:AH, AL17)</f>
        <v>0</v>
      </c>
      <c r="AO17" s="210">
        <f t="shared" ref="AO17:AO23" si="27">_xlfn.MAXIFS(AE:AE, AA:AA, AK17, AH:AH, AL17)</f>
        <v>0</v>
      </c>
      <c r="AP17" s="213" t="str" cm="1">
        <f t="array" ref="AP17">_xlfn.TEXTJOIN(", ", TRUE, _xlfn.UNIQUE(IF((AA$2:AA$100 = AK17) * (AH$2:AH$100 = AL17), AF$2:AF$100, "")))</f>
        <v>0</v>
      </c>
      <c r="AQ17" s="213" t="str" cm="1">
        <f t="array" ref="AQ17">_xlfn.TEXTJOIN(", ", TRUE, _xlfn.UNIQUE(IF((AA$2:AA$100 = AK17) * (AH$2:AH$100 = AL17), AG$2:AG$100, "")))</f>
        <v>0</v>
      </c>
      <c r="AU17" s="1" t="str">
        <v>Number of head to head trials</v>
      </c>
      <c r="AV17" s="1" t="str" cm="1">
        <f t="array" ref="AV17">INDEX($AU$1:$AU$100,INT((ROW(A17)-1)/3)+1)</f>
        <v>Quality of Submission - acceptable</v>
      </c>
      <c r="AW17" s="1" t="str" cm="1">
        <f t="array" ref="AW17">INDEX({"OR","RRR","ME"},MOD(ROW(AH17)-1,3)+1)</f>
        <v>RRR</v>
      </c>
    </row>
    <row r="18" spans="1:49" ht="60">
      <c r="A18" s="229" t="s">
        <v>1127</v>
      </c>
      <c r="B18" s="229" t="s">
        <v>878</v>
      </c>
      <c r="C18" s="229" t="s">
        <v>1127</v>
      </c>
      <c r="D18" s="230" t="s">
        <v>894</v>
      </c>
      <c r="E18" s="231">
        <v>0.40100000000000002</v>
      </c>
      <c r="F18" s="231">
        <f t="shared" si="21"/>
        <v>0.26576</v>
      </c>
      <c r="G18" s="231">
        <f t="shared" si="22"/>
        <v>0.53624000000000005</v>
      </c>
      <c r="H18" s="231">
        <v>6.9000000000000006E-2</v>
      </c>
      <c r="I18" s="231"/>
      <c r="J18" s="229">
        <v>0.01</v>
      </c>
      <c r="K18" s="229" t="s">
        <v>122</v>
      </c>
      <c r="L18" s="233" t="s">
        <v>893</v>
      </c>
      <c r="R18" s="44" t="str">
        <f t="shared" si="0"/>
        <v>Quality of Submission - acceptable</v>
      </c>
      <c r="S18" s="51" t="str">
        <f t="shared" si="1"/>
        <v>RRR</v>
      </c>
      <c r="T18" s="51" t="str">
        <f t="shared" si="13"/>
        <v>0-0</v>
      </c>
      <c r="U18" s="51" t="e" cm="1" vm="1">
        <f t="array" ref="U18">_xlfn.TEXTJOIN(", ", TRUE, _xlfn.UNIQUE(_xlfn._xlws.FILTER(K$2:K$100, (A$2:A$100 = R18) * (D$2:D$100 = S18))))</f>
        <v>#VALUE!</v>
      </c>
      <c r="V18" s="51" t="str" cm="1">
        <f t="array" ref="V18">_xlfn.TEXTJOIN(", ", TRUE, _xlfn.UNIQUE(IF((A$2:A$100 = R18) * (D$2:D$100 = S18), L$2:L$100, "")))</f>
        <v/>
      </c>
      <c r="AA18" s="44" t="str">
        <f t="shared" si="2"/>
        <v>Quality of Submission - acceptable</v>
      </c>
      <c r="AB18" s="51" t="str">
        <f t="shared" si="3"/>
        <v>RRR</v>
      </c>
      <c r="AC18" s="194" t="e">
        <f t="shared" si="5"/>
        <v>#VALUE!</v>
      </c>
      <c r="AD18" s="51" t="str">
        <f t="shared" si="6"/>
        <v>NA</v>
      </c>
      <c r="AE18" s="51" t="str">
        <f t="shared" si="7"/>
        <v>NA</v>
      </c>
      <c r="AF18" s="51" t="str" cm="1">
        <f t="array" ref="AF18">IFERROR(_xlfn.TEXTJOIN(", ", TRUE, _xlfn.UNIQUE(_xlfn._xlws.FILTER(K$2:K$100, (A$2:A$100 = AA18) * (D$2:D$100 = AB18) * ((J$2:J$100 &lt;= 0.05))))), "")</f>
        <v/>
      </c>
      <c r="AG18" s="51" t="str" cm="1">
        <f t="array" ref="AG18">_xlfn.TEXTJOIN(", ", TRUE, _xlfn.UNIQUE(IF((A$2:A$100 = R18) * (D$2:D$100 = S18) * ((J$2:J$100 &lt;= 0.05)), L$2:L$100, "")))</f>
        <v/>
      </c>
      <c r="AH18" s="51" t="str">
        <f t="shared" si="4"/>
        <v>OR / RRR</v>
      </c>
      <c r="AK18" s="209">
        <f t="shared" si="23"/>
        <v>0</v>
      </c>
      <c r="AL18" s="210">
        <f t="shared" si="24"/>
        <v>0</v>
      </c>
      <c r="AM18" s="211" t="str">
        <f t="shared" si="25"/>
        <v>NO DATA</v>
      </c>
      <c r="AN18" s="212">
        <f t="shared" si="26"/>
        <v>0</v>
      </c>
      <c r="AO18" s="210">
        <f t="shared" si="27"/>
        <v>0</v>
      </c>
      <c r="AP18" s="213" t="str" cm="1">
        <f t="array" ref="AP18">_xlfn.TEXTJOIN(", ", TRUE, _xlfn.UNIQUE(IF((AA$2:AA$100 = AK18) * (AH$2:AH$100 = AL18), AF$2:AF$100, "")))</f>
        <v>0</v>
      </c>
      <c r="AQ18" s="213" t="str" cm="1">
        <f t="array" ref="AQ18">_xlfn.TEXTJOIN(", ", TRUE, _xlfn.UNIQUE(IF((AA$2:AA$100 = AK18) * (AH$2:AH$100 = AL18), AG$2:AG$100, "")))</f>
        <v>0</v>
      </c>
      <c r="AU18" s="1" t="str">
        <v>Number of Technologies Appraised Simultaneously</v>
      </c>
      <c r="AV18" s="1" t="str" cm="1">
        <f t="array" ref="AV18">INDEX($AU$1:$AU$100,INT((ROW(A18)-1)/3)+1)</f>
        <v>Quality of Submission - acceptable</v>
      </c>
      <c r="AW18" s="1" t="str" cm="1">
        <f t="array" ref="AW18">INDEX({"OR","RRR","ME"},MOD(ROW(AH18)-1,3)+1)</f>
        <v>ME</v>
      </c>
    </row>
    <row r="19" spans="1:49" ht="45">
      <c r="A19" s="229" t="s">
        <v>1127</v>
      </c>
      <c r="B19" s="229" t="s">
        <v>878</v>
      </c>
      <c r="C19" s="229" t="s">
        <v>1127</v>
      </c>
      <c r="D19" s="230" t="s">
        <v>894</v>
      </c>
      <c r="E19" s="232">
        <v>0.23499999999999999</v>
      </c>
      <c r="F19" s="231">
        <f t="shared" ref="F19" si="28">E19-1.96*H19</f>
        <v>0.16639999999999999</v>
      </c>
      <c r="G19" s="231">
        <f t="shared" ref="G19" si="29">E19+1.96*H19</f>
        <v>0.30359999999999998</v>
      </c>
      <c r="H19" s="231">
        <v>3.5000000000000003E-2</v>
      </c>
      <c r="I19" s="231"/>
      <c r="J19" s="229">
        <v>0.01</v>
      </c>
      <c r="K19" s="229" t="s">
        <v>1129</v>
      </c>
      <c r="L19" s="233" t="s">
        <v>893</v>
      </c>
      <c r="R19" s="44" t="str">
        <f t="shared" si="0"/>
        <v>Quality of Submission - acceptable</v>
      </c>
      <c r="S19" s="51" t="str">
        <f t="shared" si="1"/>
        <v>ME</v>
      </c>
      <c r="T19" s="51" t="str">
        <f t="shared" si="13"/>
        <v>0-0</v>
      </c>
      <c r="U19" s="51" t="e" cm="1" vm="1">
        <f t="array" ref="U19">_xlfn.TEXTJOIN(", ", TRUE, _xlfn.UNIQUE(_xlfn._xlws.FILTER(K$2:K$100, (A$2:A$100 = R19) * (D$2:D$100 = S19))))</f>
        <v>#VALUE!</v>
      </c>
      <c r="V19" s="51" t="str" cm="1">
        <f t="array" ref="V19">_xlfn.TEXTJOIN(", ", TRUE, _xlfn.UNIQUE(IF((A$2:A$100 = R19) * (D$2:D$100 = S19), L$2:L$100, "")))</f>
        <v/>
      </c>
      <c r="AA19" s="44" t="str">
        <f t="shared" si="2"/>
        <v>Quality of Submission - acceptable</v>
      </c>
      <c r="AB19" s="51" t="str">
        <f t="shared" si="3"/>
        <v>ME</v>
      </c>
      <c r="AC19" s="194" t="e">
        <f t="shared" si="5"/>
        <v>#VALUE!</v>
      </c>
      <c r="AD19" s="51" t="str">
        <f t="shared" si="6"/>
        <v>NA</v>
      </c>
      <c r="AE19" s="51" t="str">
        <f t="shared" si="7"/>
        <v>NA</v>
      </c>
      <c r="AF19" s="51" t="str" cm="1">
        <f t="array" ref="AF19">IFERROR(_xlfn.TEXTJOIN(", ", TRUE, _xlfn.UNIQUE(_xlfn._xlws.FILTER(K$2:K$100, (A$2:A$100 = AA19) * (D$2:D$100 = AB19) * ((J$2:J$100 &lt;= 0.05))))), "")</f>
        <v/>
      </c>
      <c r="AG19" s="51" t="str" cm="1">
        <f t="array" ref="AG19">_xlfn.TEXTJOIN(", ", TRUE, _xlfn.UNIQUE(IF((A$2:A$100 = R19) * (D$2:D$100 = S19) * ((J$2:J$100 &lt;= 0.05)), L$2:L$100, "")))</f>
        <v/>
      </c>
      <c r="AH19" s="51" t="str">
        <f t="shared" si="4"/>
        <v>ME</v>
      </c>
      <c r="AK19" s="209">
        <f t="shared" si="23"/>
        <v>0</v>
      </c>
      <c r="AL19" s="210">
        <f t="shared" si="24"/>
        <v>0</v>
      </c>
      <c r="AM19" s="211" t="str">
        <f t="shared" si="25"/>
        <v>NO DATA</v>
      </c>
      <c r="AN19" s="212">
        <f t="shared" si="26"/>
        <v>0</v>
      </c>
      <c r="AO19" s="210">
        <f t="shared" si="27"/>
        <v>0</v>
      </c>
      <c r="AP19" s="213" t="str" cm="1">
        <f t="array" ref="AP19">_xlfn.TEXTJOIN(", ", TRUE, _xlfn.UNIQUE(IF((AA$2:AA$100 = AK19) * (AH$2:AH$100 = AL19), AF$2:AF$100, "")))</f>
        <v>0</v>
      </c>
      <c r="AQ19" s="213" t="str" cm="1">
        <f t="array" ref="AQ19">_xlfn.TEXTJOIN(", ", TRUE, _xlfn.UNIQUE(IF((AA$2:AA$100 = AK19) * (AH$2:AH$100 = AL19), AG$2:AG$100, "")))</f>
        <v>0</v>
      </c>
      <c r="AU19" s="1" t="str">
        <v>Comparator Presence</v>
      </c>
      <c r="AV19" s="1" t="str" cm="1">
        <f t="array" ref="AV19">INDEX($AU$1:$AU$100,INT((ROW(A19)-1)/3)+1)</f>
        <v>Surrogate Endpoint</v>
      </c>
      <c r="AW19" s="1" t="str" cm="1">
        <f t="array" ref="AW19">INDEX({"OR","RRR","ME"},MOD(ROW(AH19)-1,3)+1)</f>
        <v>OR</v>
      </c>
    </row>
    <row r="20" spans="1:49" ht="60">
      <c r="A20" s="229" t="s">
        <v>1127</v>
      </c>
      <c r="B20" s="229" t="s">
        <v>1075</v>
      </c>
      <c r="C20" s="229" t="s">
        <v>1127</v>
      </c>
      <c r="D20" s="230" t="s">
        <v>879</v>
      </c>
      <c r="E20" s="231">
        <v>5.3128000000000002</v>
      </c>
      <c r="F20" s="231">
        <v>2.7</v>
      </c>
      <c r="G20" s="231">
        <v>10.85</v>
      </c>
      <c r="H20" s="231"/>
      <c r="I20" s="231"/>
      <c r="J20" s="229">
        <v>1E-4</v>
      </c>
      <c r="K20" s="229" t="s">
        <v>216</v>
      </c>
      <c r="L20" s="233" t="s">
        <v>1077</v>
      </c>
      <c r="R20" s="44" t="str">
        <f t="shared" si="0"/>
        <v>Surrogate Endpoint</v>
      </c>
      <c r="S20" s="51" t="str">
        <f t="shared" si="1"/>
        <v>OR</v>
      </c>
      <c r="T20" s="51" t="str">
        <f t="shared" si="13"/>
        <v>0,83-7,68</v>
      </c>
      <c r="U20" s="51" t="str" cm="1">
        <f t="array" ref="U20">_xlfn.TEXTJOIN(", ", TRUE, _xlfn.UNIQUE(_xlfn._xlws.FILTER(K$2:K$100, (A$2:A$100 = R20) * (D$2:D$100 = S20))))</f>
        <v>France (ASMR), CANADA-(INESSS), CANADA-(CADTH) Scotland, UK, France, Australia</v>
      </c>
      <c r="V20" s="51" t="str" cm="1">
        <f t="array" ref="V20">_xlfn.TEXTJOIN(", ", TRUE, _xlfn.UNIQUE(IF((A$2:A$100 = R20) * (D$2:D$100 = S20), L$2:L$100, "")))</f>
        <v>(Kergall et al., 2021), (Mills, 2023), (Haque et al., 2023)</v>
      </c>
      <c r="AA20" s="44" t="str">
        <f t="shared" si="2"/>
        <v>Surrogate Endpoint</v>
      </c>
      <c r="AB20" s="51" t="str">
        <f t="shared" si="3"/>
        <v>OR</v>
      </c>
      <c r="AC20" s="194" t="e">
        <f t="shared" si="5"/>
        <v>#VALUE!</v>
      </c>
      <c r="AD20" s="51" t="str">
        <f t="shared" si="6"/>
        <v>NA</v>
      </c>
      <c r="AE20" s="51" t="str">
        <f t="shared" si="7"/>
        <v>NA</v>
      </c>
      <c r="AF20" s="51" t="str" cm="1">
        <f t="array" ref="AF20">IFERROR(_xlfn.TEXTJOIN(", ", TRUE, _xlfn.UNIQUE(_xlfn._xlws.FILTER(K$2:K$100, (A$2:A$100 = AA20) * (D$2:D$100 = AB20) * ((J$2:J$100 &lt;= 0.05))))), "")</f>
        <v/>
      </c>
      <c r="AG20" s="51" t="str" cm="1">
        <f t="array" ref="AG20">_xlfn.TEXTJOIN(", ", TRUE, _xlfn.UNIQUE(IF((A$2:A$100 = R20) * (D$2:D$100 = S20) * ((J$2:J$100 &lt;= 0.05)), L$2:L$100, "")))</f>
        <v/>
      </c>
      <c r="AH20" s="51" t="str">
        <f t="shared" si="4"/>
        <v>OR / RRR</v>
      </c>
      <c r="AK20" s="209">
        <f t="shared" si="23"/>
        <v>0</v>
      </c>
      <c r="AL20" s="210">
        <f t="shared" si="24"/>
        <v>0</v>
      </c>
      <c r="AM20" s="211" t="str">
        <f t="shared" si="25"/>
        <v>NO DATA</v>
      </c>
      <c r="AN20" s="212">
        <f t="shared" si="26"/>
        <v>0</v>
      </c>
      <c r="AO20" s="210">
        <f t="shared" si="27"/>
        <v>0</v>
      </c>
      <c r="AP20" s="213" t="str" cm="1">
        <f t="array" ref="AP20">_xlfn.TEXTJOIN(", ", TRUE, _xlfn.UNIQUE(IF((AA$2:AA$100 = AK20) * (AH$2:AH$100 = AL20), AF$2:AF$100, "")))</f>
        <v>0</v>
      </c>
      <c r="AQ20" s="213" t="str" cm="1">
        <f t="array" ref="AQ20">_xlfn.TEXTJOIN(", ", TRUE, _xlfn.UNIQUE(IF((AA$2:AA$100 = AK20) * (AH$2:AH$100 = AL20), AG$2:AG$100, "")))</f>
        <v>0</v>
      </c>
      <c r="AU20" s="1" t="str">
        <v>Comparator Acceptable</v>
      </c>
      <c r="AV20" s="1" t="str" cm="1">
        <f t="array" ref="AV20">INDEX($AU$1:$AU$100,INT((ROW(A20)-1)/3)+1)</f>
        <v>Surrogate Endpoint</v>
      </c>
      <c r="AW20" s="1" t="str" cm="1">
        <f t="array" ref="AW20">INDEX({"OR","RRR","ME"},MOD(ROW(AH20)-1,3)+1)</f>
        <v>RRR</v>
      </c>
    </row>
    <row r="21" spans="1:49" ht="30">
      <c r="A21" s="229" t="s">
        <v>1127</v>
      </c>
      <c r="B21" s="234" t="s">
        <v>897</v>
      </c>
      <c r="C21" s="229" t="s">
        <v>1127</v>
      </c>
      <c r="D21" s="230" t="s">
        <v>879</v>
      </c>
      <c r="E21" s="231">
        <f>1/0.94</f>
        <v>1.0638297872340425</v>
      </c>
      <c r="F21" s="231">
        <f>1/2.15</f>
        <v>0.46511627906976744</v>
      </c>
      <c r="G21" s="231">
        <f>1/0.41</f>
        <v>2.4390243902439024</v>
      </c>
      <c r="H21" s="231"/>
      <c r="I21" s="231"/>
      <c r="J21" s="229" t="s">
        <v>886</v>
      </c>
      <c r="K21" s="229" t="s">
        <v>365</v>
      </c>
      <c r="L21" s="233" t="s">
        <v>919</v>
      </c>
      <c r="R21" s="44" t="str">
        <f t="shared" si="0"/>
        <v>Surrogate Endpoint</v>
      </c>
      <c r="S21" s="51" t="str">
        <f t="shared" si="1"/>
        <v>RRR</v>
      </c>
      <c r="T21" s="51" t="str">
        <f t="shared" si="13"/>
        <v>0-0</v>
      </c>
      <c r="U21" s="51" t="e" cm="1" vm="1">
        <f t="array" ref="U21">_xlfn.TEXTJOIN(", ", TRUE, _xlfn.UNIQUE(_xlfn._xlws.FILTER(K$2:K$100, (A$2:A$100 = R21) * (D$2:D$100 = S21))))</f>
        <v>#VALUE!</v>
      </c>
      <c r="V21" s="51" t="str" cm="1">
        <f t="array" ref="V21">_xlfn.TEXTJOIN(", ", TRUE, _xlfn.UNIQUE(IF((A$2:A$100 = R21) * (D$2:D$100 = S21), L$2:L$100, "")))</f>
        <v/>
      </c>
      <c r="AA21" s="44" t="str">
        <f t="shared" si="2"/>
        <v>Surrogate Endpoint</v>
      </c>
      <c r="AB21" s="51" t="str">
        <f t="shared" si="3"/>
        <v>RRR</v>
      </c>
      <c r="AC21" s="194" t="e">
        <f t="shared" si="5"/>
        <v>#VALUE!</v>
      </c>
      <c r="AD21" s="51" t="str">
        <f t="shared" si="6"/>
        <v>NA</v>
      </c>
      <c r="AE21" s="51" t="str">
        <f t="shared" si="7"/>
        <v>NA</v>
      </c>
      <c r="AF21" s="51" t="str" cm="1">
        <f t="array" ref="AF21">IFERROR(_xlfn.TEXTJOIN(", ", TRUE, _xlfn.UNIQUE(_xlfn._xlws.FILTER(K$2:K$100, (A$2:A$100 = AA21) * (D$2:D$100 = AB21) * ((J$2:J$100 &lt;= 0.05))))), "")</f>
        <v/>
      </c>
      <c r="AG21" s="51" t="str" cm="1">
        <f t="array" ref="AG21">_xlfn.TEXTJOIN(", ", TRUE, _xlfn.UNIQUE(IF((A$2:A$100 = R21) * (D$2:D$100 = S21) * ((J$2:J$100 &lt;= 0.05)), L$2:L$100, "")))</f>
        <v/>
      </c>
      <c r="AH21" s="51" t="str">
        <f t="shared" si="4"/>
        <v>OR / RRR</v>
      </c>
      <c r="AK21" s="209">
        <f t="shared" si="23"/>
        <v>0</v>
      </c>
      <c r="AL21" s="210">
        <f t="shared" si="24"/>
        <v>0</v>
      </c>
      <c r="AM21" s="211" t="str">
        <f t="shared" si="25"/>
        <v>NO DATA</v>
      </c>
      <c r="AN21" s="212">
        <f t="shared" si="26"/>
        <v>0</v>
      </c>
      <c r="AO21" s="210">
        <f t="shared" si="27"/>
        <v>0</v>
      </c>
      <c r="AP21" s="213" t="str" cm="1">
        <f t="array" ref="AP21">_xlfn.TEXTJOIN(", ", TRUE, _xlfn.UNIQUE(IF((AA$2:AA$100 = AK21) * (AH$2:AH$100 = AL21), AF$2:AF$100, "")))</f>
        <v>0</v>
      </c>
      <c r="AQ21" s="213" t="str" cm="1">
        <f t="array" ref="AQ21">_xlfn.TEXTJOIN(", ", TRUE, _xlfn.UNIQUE(IF((AA$2:AA$100 = AK21) * (AH$2:AH$100 = AL21), AG$2:AG$100, "")))</f>
        <v>0</v>
      </c>
      <c r="AU21" s="1"/>
      <c r="AV21" s="1" t="str" cm="1">
        <f t="array" ref="AV21">INDEX($AU$1:$AU$100,INT((ROW(A21)-1)/3)+1)</f>
        <v>Surrogate Endpoint</v>
      </c>
      <c r="AW21" s="1" t="str" cm="1">
        <f t="array" ref="AW21">INDEX({"OR","RRR","ME"},MOD(ROW(AH21)-1,3)+1)</f>
        <v>ME</v>
      </c>
    </row>
    <row r="22" spans="1:49" ht="90">
      <c r="A22" s="256" t="s">
        <v>1127</v>
      </c>
      <c r="B22" s="256" t="s">
        <v>878</v>
      </c>
      <c r="C22" s="256" t="s">
        <v>1130</v>
      </c>
      <c r="D22" s="257" t="s">
        <v>879</v>
      </c>
      <c r="E22" s="258">
        <v>6.9900000000000004E-2</v>
      </c>
      <c r="F22" s="258">
        <v>8.8000000000000005E-3</v>
      </c>
      <c r="G22" s="258">
        <v>0.55459999999999998</v>
      </c>
      <c r="H22" s="258"/>
      <c r="I22" s="258"/>
      <c r="J22" s="256">
        <v>1.18E-2</v>
      </c>
      <c r="K22" s="256" t="s">
        <v>289</v>
      </c>
      <c r="L22" s="259" t="s">
        <v>881</v>
      </c>
      <c r="R22" s="44" t="str">
        <f t="shared" si="0"/>
        <v>Surrogate Endpoint</v>
      </c>
      <c r="S22" s="51" t="str">
        <f t="shared" si="1"/>
        <v>ME</v>
      </c>
      <c r="T22" s="51" t="str">
        <f t="shared" si="13"/>
        <v>0-0</v>
      </c>
      <c r="U22" s="51" t="e" cm="1" vm="1">
        <f t="array" ref="U22">_xlfn.TEXTJOIN(", ", TRUE, _xlfn.UNIQUE(_xlfn._xlws.FILTER(K$2:K$100, (A$2:A$100 = R22) * (D$2:D$100 = S22))))</f>
        <v>#VALUE!</v>
      </c>
      <c r="V22" s="51" t="str" cm="1">
        <f t="array" ref="V22">_xlfn.TEXTJOIN(", ", TRUE, _xlfn.UNIQUE(IF((A$2:A$100 = R22) * (D$2:D$100 = S22), L$2:L$100, "")))</f>
        <v/>
      </c>
      <c r="AA22" s="44" t="str">
        <f t="shared" si="2"/>
        <v>Surrogate Endpoint</v>
      </c>
      <c r="AB22" s="51" t="str">
        <f t="shared" si="3"/>
        <v>ME</v>
      </c>
      <c r="AC22" s="194" t="e">
        <f t="shared" si="5"/>
        <v>#VALUE!</v>
      </c>
      <c r="AD22" s="51" t="str">
        <f t="shared" si="6"/>
        <v>NA</v>
      </c>
      <c r="AE22" s="51" t="str">
        <f t="shared" si="7"/>
        <v>NA</v>
      </c>
      <c r="AF22" s="51" t="str" cm="1">
        <f t="array" ref="AF22">IFERROR(_xlfn.TEXTJOIN(", ", TRUE, _xlfn.UNIQUE(_xlfn._xlws.FILTER(K$2:K$100, (A$2:A$100 = AA22) * (D$2:D$100 = AB22) * ((J$2:J$100 &lt;= 0.05))))), "")</f>
        <v/>
      </c>
      <c r="AG22" s="51" t="str" cm="1">
        <f t="array" ref="AG22">_xlfn.TEXTJOIN(", ", TRUE, _xlfn.UNIQUE(IF((A$2:A$100 = R22) * (D$2:D$100 = S22) * ((J$2:J$100 &lt;= 0.05)), L$2:L$100, "")))</f>
        <v/>
      </c>
      <c r="AH22" s="51" t="str">
        <f t="shared" si="4"/>
        <v>ME</v>
      </c>
      <c r="AK22" s="209">
        <f t="shared" si="23"/>
        <v>0</v>
      </c>
      <c r="AL22" s="210">
        <f t="shared" si="24"/>
        <v>0</v>
      </c>
      <c r="AM22" s="211" t="str">
        <f t="shared" si="25"/>
        <v>NO DATA</v>
      </c>
      <c r="AN22" s="212">
        <f t="shared" si="26"/>
        <v>0</v>
      </c>
      <c r="AO22" s="210">
        <f t="shared" si="27"/>
        <v>0</v>
      </c>
      <c r="AP22" s="213" t="str" cm="1">
        <f t="array" ref="AP22">_xlfn.TEXTJOIN(", ", TRUE, _xlfn.UNIQUE(IF((AA$2:AA$100 = AK22) * (AH$2:AH$100 = AL22), AF$2:AF$100, "")))</f>
        <v>0</v>
      </c>
      <c r="AQ22" s="213" t="str" cm="1">
        <f t="array" ref="AQ22">_xlfn.TEXTJOIN(", ", TRUE, _xlfn.UNIQUE(IF((AA$2:AA$100 = AK22) * (AH$2:AH$100 = AL22), AG$2:AG$100, "")))</f>
        <v>0</v>
      </c>
      <c r="AU22" s="1"/>
      <c r="AV22" s="1" cm="1">
        <f t="array" ref="AV22">INDEX($AU$1:$AU$100,INT((ROW(A22)-1)/3)+1)</f>
        <v>0</v>
      </c>
      <c r="AW22" s="1" t="str" cm="1">
        <f t="array" ref="AW22">INDEX({"OR","RRR","ME"},MOD(ROW(AH22)-1,3)+1)</f>
        <v>OR</v>
      </c>
    </row>
    <row r="23" spans="1:49" ht="30">
      <c r="A23" s="229" t="s">
        <v>1127</v>
      </c>
      <c r="B23" s="229" t="s">
        <v>914</v>
      </c>
      <c r="C23" s="229" t="s">
        <v>1131</v>
      </c>
      <c r="D23" s="230" t="s">
        <v>891</v>
      </c>
      <c r="E23" s="231">
        <f>1/0.8986</f>
        <v>1.1128421989761852</v>
      </c>
      <c r="F23" s="231">
        <f>1/0.9582</f>
        <v>1.0436234606553956</v>
      </c>
      <c r="G23" s="231">
        <f>1/0.8427</f>
        <v>1.1866619200189865</v>
      </c>
      <c r="H23" s="231"/>
      <c r="I23" s="231"/>
      <c r="J23" s="229">
        <v>1E-3</v>
      </c>
      <c r="K23" s="229" t="s">
        <v>840</v>
      </c>
      <c r="L23" s="233" t="s">
        <v>916</v>
      </c>
      <c r="R23" s="44">
        <f t="shared" si="0"/>
        <v>0</v>
      </c>
      <c r="S23" s="51" t="str">
        <f t="shared" si="1"/>
        <v>OR</v>
      </c>
      <c r="T23" s="51" t="str">
        <f t="shared" si="13"/>
        <v>0-0</v>
      </c>
      <c r="U23" s="51" t="str" cm="1">
        <f t="array" ref="U23">_xlfn.TEXTJOIN(", ", TRUE, _xlfn.UNIQUE(_xlfn._xlws.FILTER(K$2:K$100, (A$2:A$100 = R23) * (D$2:D$100 = S23))))</f>
        <v>Poland, Australia</v>
      </c>
      <c r="V23" s="51" t="str" cm="1">
        <f t="array" ref="V23">_xlfn.TEXTJOIN(", ", TRUE, _xlfn.UNIQUE(IF((A$2:A$100 = R23) * (D$2:D$100 = S23), L$2:L$100, "")))</f>
        <v>(Niewada et al., 2013), (Hill et al., 2022)</v>
      </c>
      <c r="AA23" s="44">
        <f t="shared" si="2"/>
        <v>0</v>
      </c>
      <c r="AB23" s="51" t="str">
        <f t="shared" si="3"/>
        <v>OR</v>
      </c>
      <c r="AC23" s="194" t="e">
        <f t="shared" si="5"/>
        <v>#VALUE!</v>
      </c>
      <c r="AD23" s="51" t="str">
        <f t="shared" si="6"/>
        <v>NA</v>
      </c>
      <c r="AE23" s="51" t="str">
        <f t="shared" si="7"/>
        <v>NA</v>
      </c>
      <c r="AF23" s="51" t="str" cm="1">
        <f t="array" ref="AF23">IFERROR(_xlfn.TEXTJOIN(", ", TRUE, _xlfn.UNIQUE(_xlfn._xlws.FILTER(K$2:K$100, (A$2:A$100 = AA23) * (D$2:D$100 = AB23) * ((J$2:J$100 &lt;= 0.05))))), "")</f>
        <v>Poland</v>
      </c>
      <c r="AG23" s="51" t="str" cm="1">
        <f t="array" ref="AG23">_xlfn.TEXTJOIN(", ", TRUE, _xlfn.UNIQUE(IF((A$2:A$100 = R23) * (D$2:D$100 = S23) * ((J$2:J$100 &lt;= 0.05)), L$2:L$100, "")))</f>
        <v>(Niewada et al., 2013)</v>
      </c>
      <c r="AH23" s="51" t="str">
        <f t="shared" si="4"/>
        <v>OR / RRR</v>
      </c>
      <c r="AK23" s="209">
        <f t="shared" si="23"/>
        <v>0</v>
      </c>
      <c r="AL23" s="210">
        <f t="shared" si="24"/>
        <v>0</v>
      </c>
      <c r="AM23" s="211" t="str">
        <f t="shared" si="25"/>
        <v>NO DATA</v>
      </c>
      <c r="AN23" s="212">
        <f t="shared" si="26"/>
        <v>0</v>
      </c>
      <c r="AO23" s="210">
        <f t="shared" si="27"/>
        <v>0</v>
      </c>
      <c r="AP23" s="213" t="str" cm="1">
        <f t="array" ref="AP23">_xlfn.TEXTJOIN(", ", TRUE, _xlfn.UNIQUE(IF((AA$2:AA$100 = AK23) * (AH$2:AH$100 = AL23), AF$2:AF$100, "")))</f>
        <v>0</v>
      </c>
      <c r="AQ23" s="213" t="str" cm="1">
        <f t="array" ref="AQ23">_xlfn.TEXTJOIN(", ", TRUE, _xlfn.UNIQUE(IF((AA$2:AA$100 = AK23) * (AH$2:AH$100 = AL23), AG$2:AG$100, "")))</f>
        <v>0</v>
      </c>
      <c r="AU23" s="1"/>
      <c r="AV23" s="1" cm="1">
        <f t="array" ref="AV23">INDEX($AU$1:$AU$100,INT((ROW(A23)-1)/3)+1)</f>
        <v>0</v>
      </c>
      <c r="AW23" s="1" t="str" cm="1">
        <f t="array" ref="AW23">INDEX({"OR","RRR","ME"},MOD(ROW(AH23)-1,3)+1)</f>
        <v>RRR</v>
      </c>
    </row>
    <row r="24" spans="1:49" ht="45">
      <c r="A24" s="229" t="s">
        <v>1127</v>
      </c>
      <c r="B24" s="229" t="s">
        <v>878</v>
      </c>
      <c r="C24" s="229" t="s">
        <v>1132</v>
      </c>
      <c r="D24" s="230" t="s">
        <v>879</v>
      </c>
      <c r="E24" s="231">
        <v>2.464</v>
      </c>
      <c r="F24" s="231">
        <v>1.0860000000000001</v>
      </c>
      <c r="G24" s="231">
        <v>5.593</v>
      </c>
      <c r="H24" s="231"/>
      <c r="I24" s="231"/>
      <c r="J24" s="229">
        <v>0.05</v>
      </c>
      <c r="K24" s="229" t="s">
        <v>840</v>
      </c>
      <c r="L24" s="233" t="s">
        <v>974</v>
      </c>
      <c r="R24" s="44">
        <f t="shared" si="0"/>
        <v>0</v>
      </c>
      <c r="S24" s="51" t="str">
        <f t="shared" si="1"/>
        <v>RRR</v>
      </c>
      <c r="T24" s="51" t="str">
        <f t="shared" si="13"/>
        <v>0-0</v>
      </c>
      <c r="U24" s="51" t="e" cm="1" vm="1">
        <f t="array" ref="U24">_xlfn.TEXTJOIN(", ", TRUE, _xlfn.UNIQUE(_xlfn._xlws.FILTER(K$2:K$100, (A$2:A$100 = R24) * (D$2:D$100 = S24))))</f>
        <v>#VALUE!</v>
      </c>
      <c r="V24" s="51" t="str" cm="1">
        <f t="array" ref="V24">_xlfn.TEXTJOIN(", ", TRUE, _xlfn.UNIQUE(IF((A$2:A$100 = R24) * (D$2:D$100 = S24), L$2:L$100, "")))</f>
        <v/>
      </c>
      <c r="AA24" s="44">
        <f t="shared" si="2"/>
        <v>0</v>
      </c>
      <c r="AB24" s="51" t="str">
        <f t="shared" si="3"/>
        <v>RRR</v>
      </c>
      <c r="AC24" s="194" t="e">
        <f t="shared" si="5"/>
        <v>#VALUE!</v>
      </c>
      <c r="AD24" s="51" t="str">
        <f t="shared" si="6"/>
        <v>NA</v>
      </c>
      <c r="AE24" s="51" t="str">
        <f t="shared" si="7"/>
        <v>NA</v>
      </c>
      <c r="AF24" s="51" t="str" cm="1">
        <f t="array" ref="AF24">IFERROR(_xlfn.TEXTJOIN(", ", TRUE, _xlfn.UNIQUE(_xlfn._xlws.FILTER(K$2:K$100, (A$2:A$100 = AA24) * (D$2:D$100 = AB24) * ((J$2:J$100 &lt;= 0.05))))), "")</f>
        <v/>
      </c>
      <c r="AG24" s="51" t="str" cm="1">
        <f t="array" ref="AG24">_xlfn.TEXTJOIN(", ", TRUE, _xlfn.UNIQUE(IF((A$2:A$100 = R24) * (D$2:D$100 = S24) * ((J$2:J$100 &lt;= 0.05)), L$2:L$100, "")))</f>
        <v/>
      </c>
      <c r="AH24" s="51" t="str">
        <f t="shared" si="4"/>
        <v>OR / RRR</v>
      </c>
      <c r="AU24" s="1"/>
      <c r="AV24" s="1" cm="1">
        <f t="array" ref="AV24">INDEX($AU$1:$AU$100,INT((ROW(A24)-1)/3)+1)</f>
        <v>0</v>
      </c>
      <c r="AW24" s="1" t="str" cm="1">
        <f t="array" ref="AW24">INDEX({"OR","RRR","ME"},MOD(ROW(AH24)-1,3)+1)</f>
        <v>ME</v>
      </c>
    </row>
    <row r="25" spans="1:49" ht="25.5">
      <c r="A25" s="229" t="s">
        <v>1127</v>
      </c>
      <c r="B25" s="229" t="s">
        <v>885</v>
      </c>
      <c r="C25" s="45" t="s">
        <v>1133</v>
      </c>
      <c r="D25" s="230" t="s">
        <v>879</v>
      </c>
      <c r="E25" s="231">
        <f>EXP(4.53)</f>
        <v>92.758561082111768</v>
      </c>
      <c r="F25" s="231">
        <f>EXP(4.53-1.96*1.19)</f>
        <v>9.0033794382931998</v>
      </c>
      <c r="G25" s="231">
        <f>EXP(4.53+1.96*1.19)</f>
        <v>955.65789634819339</v>
      </c>
      <c r="H25" s="231"/>
      <c r="I25" s="231"/>
      <c r="J25" s="45">
        <v>0.05</v>
      </c>
      <c r="K25" s="45" t="s">
        <v>319</v>
      </c>
      <c r="L25" s="235" t="s">
        <v>1134</v>
      </c>
      <c r="R25" s="44">
        <f t="shared" si="0"/>
        <v>0</v>
      </c>
      <c r="S25" s="51" t="str">
        <f t="shared" si="1"/>
        <v>ME</v>
      </c>
      <c r="T25" s="51" t="str">
        <f t="shared" si="13"/>
        <v>0-0</v>
      </c>
      <c r="U25" s="51" t="e" cm="1" vm="1">
        <f t="array" ref="U25">_xlfn.TEXTJOIN(", ", TRUE, _xlfn.UNIQUE(_xlfn._xlws.FILTER(K$2:K$100, (A$2:A$100 = R25) * (D$2:D$100 = S25))))</f>
        <v>#VALUE!</v>
      </c>
      <c r="V25" s="51" t="str" cm="1">
        <f t="array" ref="V25">_xlfn.TEXTJOIN(", ", TRUE, _xlfn.UNIQUE(IF((A$2:A$100 = R25) * (D$2:D$100 = S25), L$2:L$100, "")))</f>
        <v/>
      </c>
      <c r="AA25" s="44">
        <f t="shared" si="2"/>
        <v>0</v>
      </c>
      <c r="AB25" s="51" t="str">
        <f t="shared" si="3"/>
        <v>ME</v>
      </c>
      <c r="AC25" s="194" t="e">
        <f t="shared" si="5"/>
        <v>#VALUE!</v>
      </c>
      <c r="AD25" s="51" t="str">
        <f t="shared" si="6"/>
        <v>NA</v>
      </c>
      <c r="AE25" s="51" t="str">
        <f t="shared" si="7"/>
        <v>NA</v>
      </c>
      <c r="AF25" s="51" t="str" cm="1">
        <f t="array" ref="AF25">IFERROR(_xlfn.TEXTJOIN(", ", TRUE, _xlfn.UNIQUE(_xlfn._xlws.FILTER(K$2:K$100, (A$2:A$100 = AA25) * (D$2:D$100 = AB25) * ((J$2:J$100 &lt;= 0.05))))), "")</f>
        <v/>
      </c>
      <c r="AG25" s="51" t="str" cm="1">
        <f t="array" ref="AG25">_xlfn.TEXTJOIN(", ", TRUE, _xlfn.UNIQUE(IF((A$2:A$100 = R25) * (D$2:D$100 = S25) * ((J$2:J$100 &lt;= 0.05)), L$2:L$100, "")))</f>
        <v/>
      </c>
      <c r="AH25" s="51" t="str">
        <f t="shared" si="4"/>
        <v>ME</v>
      </c>
      <c r="AU25" s="1"/>
      <c r="AV25" s="1" t="str" cm="1">
        <f t="array" ref="AV25">INDEX($AU$1:$AU$100,INT((ROW(A25)-1)/3)+1)</f>
        <v>Clinical Uncertainties</v>
      </c>
      <c r="AW25" s="1" t="str" cm="1">
        <f t="array" ref="AW25">INDEX({"OR","RRR","ME"},MOD(ROW(AH25)-1,3)+1)</f>
        <v>OR</v>
      </c>
    </row>
    <row r="26" spans="1:49" ht="60">
      <c r="A26" s="229" t="s">
        <v>1127</v>
      </c>
      <c r="B26" s="229" t="s">
        <v>885</v>
      </c>
      <c r="C26" s="229" t="s">
        <v>1135</v>
      </c>
      <c r="D26" s="230" t="s">
        <v>879</v>
      </c>
      <c r="E26" s="231">
        <f>1/0.755</f>
        <v>1.3245033112582782</v>
      </c>
      <c r="F26" s="231">
        <f>1/4.237</f>
        <v>0.23601604909133819</v>
      </c>
      <c r="G26" s="231">
        <f>1/0.135</f>
        <v>7.4074074074074066</v>
      </c>
      <c r="H26" s="231"/>
      <c r="I26" s="231"/>
      <c r="J26" s="229" t="s">
        <v>886</v>
      </c>
      <c r="K26" s="229" t="s">
        <v>365</v>
      </c>
      <c r="L26" s="233" t="s">
        <v>1136</v>
      </c>
      <c r="R26" s="44" t="str">
        <f t="shared" si="0"/>
        <v>Clinical Uncertainties</v>
      </c>
      <c r="S26" s="51" t="str">
        <f t="shared" si="1"/>
        <v>OR</v>
      </c>
      <c r="T26" s="51" t="str">
        <f t="shared" si="13"/>
        <v>0-0,76</v>
      </c>
      <c r="U26" s="51" t="str" cm="1">
        <f t="array" ref="U26">_xlfn.TEXTJOIN(", ", TRUE, _xlfn.UNIQUE(_xlfn._xlws.FILTER(K$2:K$100, (A$2:A$100 = R26) * (D$2:D$100 = S26))))</f>
        <v>CANADA-(INESSS), CANADA-(CADTH) Scotland, UK, France, Australia, USA Medicare</v>
      </c>
      <c r="V26" s="51" t="str" cm="1">
        <f t="array" ref="V26">_xlfn.TEXTJOIN(", ", TRUE, _xlfn.UNIQUE(IF((A$2:A$100 = R26) * (D$2:D$100 = S26), L$2:L$100, "")))</f>
        <v>(Mills, 2023), (Haque et al., 2023), (Karikios et al., 2017), (Chambers et al., 2015)</v>
      </c>
      <c r="W26" s="6">
        <v>4</v>
      </c>
      <c r="AA26" s="44" t="str">
        <f t="shared" si="2"/>
        <v>Clinical Uncertainties</v>
      </c>
      <c r="AB26" s="51" t="str">
        <f t="shared" si="3"/>
        <v>OR</v>
      </c>
      <c r="AC26" s="194" t="str">
        <f t="shared" si="5"/>
        <v>0-0,76</v>
      </c>
      <c r="AD26" s="51">
        <f t="shared" si="6"/>
        <v>4.1609993716113722E-3</v>
      </c>
      <c r="AE26" s="51">
        <f t="shared" si="7"/>
        <v>0.76</v>
      </c>
      <c r="AF26" s="51" t="str" cm="1">
        <f t="array" ref="AF26">IFERROR(_xlfn.TEXTJOIN(", ", TRUE, _xlfn.UNIQUE(_xlfn._xlws.FILTER(K$2:K$100, (A$2:A$100 = AA26) * (D$2:D$100 = AB26) * ((J$2:J$100 &lt;= 0.05))))), "")</f>
        <v>CANADA-(INESSS), CANADA-(CADTH) Scotland, UK, France, Australia, USA Medicare</v>
      </c>
      <c r="AG26" s="51" t="str" cm="1">
        <f t="array" ref="AG26">_xlfn.TEXTJOIN(", ", TRUE, _xlfn.UNIQUE(IF((A$2:A$100 = R26) * (D$2:D$100 = S26) * ((J$2:J$100 &lt;= 0.05)), L$2:L$100, "")))</f>
        <v>(Mills, 2023), (Haque et al., 2023), (Karikios et al., 2017), (Chambers et al., 2015)</v>
      </c>
      <c r="AH26" s="51" t="str">
        <f t="shared" si="4"/>
        <v>OR / RRR</v>
      </c>
      <c r="AI26" s="6">
        <v>4</v>
      </c>
      <c r="AU26" s="1"/>
      <c r="AV26" s="1" t="str" cm="1">
        <f t="array" ref="AV26">INDEX($AU$1:$AU$100,INT((ROW(A26)-1)/3)+1)</f>
        <v>Clinical Uncertainties</v>
      </c>
      <c r="AW26" s="1" t="str" cm="1">
        <f t="array" ref="AW26">INDEX({"OR","RRR","ME"},MOD(ROW(AH26)-1,3)+1)</f>
        <v>RRR</v>
      </c>
    </row>
    <row r="27" spans="1:49" ht="30">
      <c r="A27" s="229" t="s">
        <v>1127</v>
      </c>
      <c r="B27" s="234" t="s">
        <v>897</v>
      </c>
      <c r="C27" s="229" t="s">
        <v>1137</v>
      </c>
      <c r="D27" s="230" t="s">
        <v>894</v>
      </c>
      <c r="E27" s="231">
        <v>0.04</v>
      </c>
      <c r="F27" s="231">
        <v>-0.09</v>
      </c>
      <c r="G27" s="231">
        <v>0.17</v>
      </c>
      <c r="H27" s="231"/>
      <c r="I27" s="231"/>
      <c r="J27" s="229">
        <v>0.53</v>
      </c>
      <c r="K27" s="229" t="s">
        <v>365</v>
      </c>
      <c r="L27" s="233" t="s">
        <v>901</v>
      </c>
      <c r="R27" s="44" t="str">
        <f t="shared" si="0"/>
        <v>Clinical Uncertainties</v>
      </c>
      <c r="S27" s="51" t="str">
        <f t="shared" si="1"/>
        <v>RRR</v>
      </c>
      <c r="T27" s="51" t="str">
        <f t="shared" si="13"/>
        <v>0,17-0,17</v>
      </c>
      <c r="U27" s="51" t="str" cm="1">
        <f t="array" ref="U27">_xlfn.TEXTJOIN(", ", TRUE, _xlfn.UNIQUE(_xlfn._xlws.FILTER(K$2:K$100, (A$2:A$100 = R27) * (D$2:D$100 = S27))))</f>
        <v>Netherlands</v>
      </c>
      <c r="V27" s="51" t="str" cm="1">
        <f t="array" ref="V27">_xlfn.TEXTJOIN(", ", TRUE, _xlfn.UNIQUE(IF((A$2:A$100 = R27) * (D$2:D$100 = S27), L$2:L$100, "")))</f>
        <v>(Cerri, Knapp, &amp; Fernandez, 2014a)</v>
      </c>
      <c r="W27" s="6">
        <v>1</v>
      </c>
      <c r="AA27" s="44" t="str">
        <f t="shared" si="2"/>
        <v>Clinical Uncertainties</v>
      </c>
      <c r="AB27" s="51" t="str">
        <f t="shared" si="3"/>
        <v>RRR</v>
      </c>
      <c r="AC27" s="194">
        <f t="shared" si="5"/>
        <v>0.17</v>
      </c>
      <c r="AD27" s="51">
        <f t="shared" si="6"/>
        <v>0.16863814726859552</v>
      </c>
      <c r="AE27" s="51">
        <f t="shared" si="7"/>
        <v>0.16863814726859552</v>
      </c>
      <c r="AF27" s="51" t="str" cm="1">
        <f t="array" ref="AF27">IFERROR(_xlfn.TEXTJOIN(", ", TRUE, _xlfn.UNIQUE(_xlfn._xlws.FILTER(K$2:K$100, (A$2:A$100 = AA27) * (D$2:D$100 = AB27) * ((J$2:J$100 &lt;= 0.05))))), "")</f>
        <v>Netherlands</v>
      </c>
      <c r="AG27" s="51" t="str" cm="1">
        <f t="array" ref="AG27">_xlfn.TEXTJOIN(", ", TRUE, _xlfn.UNIQUE(IF((A$2:A$100 = R27) * (D$2:D$100 = S27) * ((J$2:J$100 &lt;= 0.05)), L$2:L$100, "")))</f>
        <v>(Cerri, Knapp, &amp; Fernandez, 2014a)</v>
      </c>
      <c r="AH27" s="51" t="str">
        <f t="shared" si="4"/>
        <v>OR / RRR</v>
      </c>
      <c r="AI27" s="6">
        <v>1</v>
      </c>
      <c r="AU27" s="1"/>
      <c r="AV27" s="1" t="str" cm="1">
        <f t="array" ref="AV27">INDEX($AU$1:$AU$100,INT((ROW(A27)-1)/3)+1)</f>
        <v>Clinical Uncertainties</v>
      </c>
      <c r="AW27" s="1" t="str" cm="1">
        <f t="array" ref="AW27">INDEX({"OR","RRR","ME"},MOD(ROW(AH27)-1,3)+1)</f>
        <v>ME</v>
      </c>
    </row>
    <row r="28" spans="1:49" ht="64.5" customHeight="1">
      <c r="A28" s="100" t="s">
        <v>1138</v>
      </c>
      <c r="B28" s="100" t="s">
        <v>1121</v>
      </c>
      <c r="C28" s="96" t="s">
        <v>1139</v>
      </c>
      <c r="D28" s="93" t="s">
        <v>879</v>
      </c>
      <c r="E28" s="95">
        <f>1/(EXP(-0.034))</f>
        <v>1.0345846067281179</v>
      </c>
      <c r="F28" s="95">
        <f>EXP(-0.034-1.96*0.068)</f>
        <v>0.84596270861394285</v>
      </c>
      <c r="G28" s="95">
        <f>EXP(-0.034+1.96*0.068)</f>
        <v>1.104375481406197</v>
      </c>
      <c r="H28" s="95"/>
      <c r="I28" s="95"/>
      <c r="J28" s="96" t="s">
        <v>886</v>
      </c>
      <c r="K28" s="96" t="s">
        <v>122</v>
      </c>
      <c r="L28" s="92" t="s">
        <v>1122</v>
      </c>
      <c r="R28" s="44" t="str">
        <f t="shared" si="0"/>
        <v>Clinical Uncertainties</v>
      </c>
      <c r="S28" s="51" t="str">
        <f t="shared" si="1"/>
        <v>ME</v>
      </c>
      <c r="T28" s="51" t="str">
        <f t="shared" si="13"/>
        <v>-0,04-0,02</v>
      </c>
      <c r="U28" s="51" t="str" cm="1">
        <f t="array" ref="U28">_xlfn.TEXTJOIN(", ", TRUE, _xlfn.UNIQUE(_xlfn._xlws.FILTER(K$2:K$100, (A$2:A$100 = R28) * (D$2:D$100 = S28))))</f>
        <v>CANADA-(CADTH), France, Scotland, UK, CANADA-(INESSS)</v>
      </c>
      <c r="V28" s="51" t="str" cm="1">
        <f t="array" ref="V28">_xlfn.TEXTJOIN(", ", TRUE, _xlfn.UNIQUE(IF((A$2:A$100 = R28) * (D$2:D$100 = S28), L$2:L$100, "")))</f>
        <v>(Mills, 2023)</v>
      </c>
      <c r="W28" s="6">
        <v>1</v>
      </c>
      <c r="AA28" s="44" t="str">
        <f t="shared" si="2"/>
        <v>Clinical Uncertainties</v>
      </c>
      <c r="AB28" s="51" t="str">
        <f t="shared" si="3"/>
        <v>ME</v>
      </c>
      <c r="AC28" s="194" t="str">
        <f t="shared" si="5"/>
        <v>-0,04-0,02</v>
      </c>
      <c r="AD28" s="51">
        <f t="shared" si="6"/>
        <v>-3.6999999999999998E-2</v>
      </c>
      <c r="AE28" s="51">
        <f t="shared" si="7"/>
        <v>1.4999999999999999E-2</v>
      </c>
      <c r="AF28" s="51" t="str" cm="1">
        <f t="array" ref="AF28">IFERROR(_xlfn.TEXTJOIN(", ", TRUE, _xlfn.UNIQUE(_xlfn._xlws.FILTER(K$2:K$100, (A$2:A$100 = AA28) * (D$2:D$100 = AB28) * ((J$2:J$100 &lt;= 0.05))))), "")</f>
        <v>CANADA-(CADTH), Scotland, UK, CANADA-(INESSS)</v>
      </c>
      <c r="AG28" s="51" t="str" cm="1">
        <f t="array" ref="AG28">_xlfn.TEXTJOIN(", ", TRUE, _xlfn.UNIQUE(IF((A$2:A$100 = R28) * (D$2:D$100 = S28) * ((J$2:J$100 &lt;= 0.05)), L$2:L$100, "")))</f>
        <v>(Mills, 2023)</v>
      </c>
      <c r="AH28" s="51" t="str">
        <f t="shared" si="4"/>
        <v>ME</v>
      </c>
      <c r="AU28" s="1"/>
      <c r="AV28" s="1" t="str" cm="1">
        <f t="array" ref="AV28">INDEX($AU$1:$AU$100,INT((ROW(A28)-1)/3)+1)</f>
        <v>Clinical Guidelines Consistent</v>
      </c>
      <c r="AW28" s="1" t="str" cm="1">
        <f t="array" ref="AW28">INDEX({"OR","RRR","ME"},MOD(ROW(AH28)-1,3)+1)</f>
        <v>OR</v>
      </c>
    </row>
    <row r="29" spans="1:49" ht="45">
      <c r="A29" s="96" t="s">
        <v>1140</v>
      </c>
      <c r="B29" s="96" t="s">
        <v>885</v>
      </c>
      <c r="C29" s="96" t="s">
        <v>1140</v>
      </c>
      <c r="D29" s="93" t="s">
        <v>879</v>
      </c>
      <c r="E29" s="95">
        <v>5.44</v>
      </c>
      <c r="F29" s="95">
        <v>1.5</v>
      </c>
      <c r="G29" s="95">
        <v>19.760000000000002</v>
      </c>
      <c r="H29" s="95"/>
      <c r="I29" s="95"/>
      <c r="J29" s="96">
        <v>0.01</v>
      </c>
      <c r="K29" s="96" t="s">
        <v>216</v>
      </c>
      <c r="L29" s="92" t="s">
        <v>991</v>
      </c>
      <c r="R29" s="44" t="str">
        <f t="shared" si="0"/>
        <v>Clinical Guidelines Consistent</v>
      </c>
      <c r="S29" s="51" t="str">
        <f t="shared" si="1"/>
        <v>OR</v>
      </c>
      <c r="T29" s="51" t="str">
        <f t="shared" si="13"/>
        <v>4,73-4,73</v>
      </c>
      <c r="U29" s="51" t="str" cm="1">
        <f t="array" ref="U29">_xlfn.TEXTJOIN(", ", TRUE, _xlfn.UNIQUE(_xlfn._xlws.FILTER(K$2:K$100, (A$2:A$100 = R29) * (D$2:D$100 = S29))))</f>
        <v>USA Medicare</v>
      </c>
      <c r="V29" s="51" t="str" cm="1">
        <f t="array" ref="V29">_xlfn.TEXTJOIN(", ", TRUE, _xlfn.UNIQUE(IF((A$2:A$100 = R29) * (D$2:D$100 = S29), L$2:L$100, "")))</f>
        <v>(Chambers et al., 2015)</v>
      </c>
      <c r="AA29" s="44" t="str">
        <f t="shared" si="2"/>
        <v>Clinical Guidelines Consistent</v>
      </c>
      <c r="AB29" s="51" t="str">
        <f t="shared" si="3"/>
        <v>OR</v>
      </c>
      <c r="AC29" s="194">
        <f t="shared" si="5"/>
        <v>4.7300000000000004</v>
      </c>
      <c r="AD29" s="51">
        <f t="shared" si="6"/>
        <v>4.7270000000000003</v>
      </c>
      <c r="AE29" s="51">
        <f t="shared" si="7"/>
        <v>4.7270000000000003</v>
      </c>
      <c r="AF29" s="51" t="str" cm="1">
        <f t="array" ref="AF29">IFERROR(_xlfn.TEXTJOIN(", ", TRUE, _xlfn.UNIQUE(_xlfn._xlws.FILTER(K$2:K$100, (A$2:A$100 = AA29) * (D$2:D$100 = AB29) * ((J$2:J$100 &lt;= 0.05))))), "")</f>
        <v>USA Medicare</v>
      </c>
      <c r="AG29" s="51" t="str" cm="1">
        <f t="array" ref="AG29">_xlfn.TEXTJOIN(", ", TRUE, _xlfn.UNIQUE(IF((A$2:A$100 = R29) * (D$2:D$100 = S29) * ((J$2:J$100 &lt;= 0.05)), L$2:L$100, "")))</f>
        <v>(Chambers et al., 2015)</v>
      </c>
      <c r="AH29" s="51" t="str">
        <f t="shared" si="4"/>
        <v>OR / RRR</v>
      </c>
      <c r="AU29" s="1"/>
      <c r="AV29" s="1" t="str" cm="1">
        <f t="array" ref="AV29">INDEX($AU$1:$AU$100,INT((ROW(A29)-1)/3)+1)</f>
        <v>Clinical Guidelines Consistent</v>
      </c>
      <c r="AW29" s="1" t="str" cm="1">
        <f t="array" ref="AW29">INDEX({"OR","RRR","ME"},MOD(ROW(AH29)-1,3)+1)</f>
        <v>RRR</v>
      </c>
    </row>
    <row r="30" spans="1:49" ht="45">
      <c r="A30" s="96" t="s">
        <v>1140</v>
      </c>
      <c r="B30" s="96" t="s">
        <v>885</v>
      </c>
      <c r="C30" s="96" t="s">
        <v>1141</v>
      </c>
      <c r="D30" s="93" t="s">
        <v>879</v>
      </c>
      <c r="E30" s="95">
        <f>1/0.21062</f>
        <v>4.7478871902003608</v>
      </c>
      <c r="F30" s="95"/>
      <c r="G30" s="95"/>
      <c r="H30" s="95"/>
      <c r="I30" s="95"/>
      <c r="J30" s="96">
        <v>5.0000000000000001E-3</v>
      </c>
      <c r="K30" s="96" t="s">
        <v>216</v>
      </c>
      <c r="L30" s="92" t="s">
        <v>1079</v>
      </c>
      <c r="R30" s="44" t="str">
        <f t="shared" si="0"/>
        <v>Clinical Guidelines Consistent</v>
      </c>
      <c r="S30" s="51" t="str">
        <f t="shared" si="1"/>
        <v>RRR</v>
      </c>
      <c r="T30" s="51" t="str">
        <f t="shared" si="13"/>
        <v>0-0</v>
      </c>
      <c r="U30" s="51" t="e" cm="1" vm="1">
        <f t="array" ref="U30">_xlfn.TEXTJOIN(", ", TRUE, _xlfn.UNIQUE(_xlfn._xlws.FILTER(K$2:K$100, (A$2:A$100 = R30) * (D$2:D$100 = S30))))</f>
        <v>#VALUE!</v>
      </c>
      <c r="V30" s="51" t="str" cm="1">
        <f t="array" ref="V30">_xlfn.TEXTJOIN(", ", TRUE, _xlfn.UNIQUE(IF((A$2:A$100 = R30) * (D$2:D$100 = S30), L$2:L$100, "")))</f>
        <v/>
      </c>
      <c r="AA30" s="44" t="str">
        <f t="shared" si="2"/>
        <v>Clinical Guidelines Consistent</v>
      </c>
      <c r="AB30" s="51" t="str">
        <f t="shared" si="3"/>
        <v>RRR</v>
      </c>
      <c r="AC30" s="194" t="e">
        <f t="shared" si="5"/>
        <v>#VALUE!</v>
      </c>
      <c r="AD30" s="51" t="str">
        <f t="shared" si="6"/>
        <v>NA</v>
      </c>
      <c r="AE30" s="51" t="str">
        <f t="shared" si="7"/>
        <v>NA</v>
      </c>
      <c r="AF30" s="51" t="str" cm="1">
        <f t="array" ref="AF30">IFERROR(_xlfn.TEXTJOIN(", ", TRUE, _xlfn.UNIQUE(_xlfn._xlws.FILTER(K$2:K$100, (A$2:A$100 = AA30) * (D$2:D$100 = AB30) * ((J$2:J$100 &lt;= 0.05))))), "")</f>
        <v/>
      </c>
      <c r="AG30" s="51" t="str" cm="1">
        <f t="array" ref="AG30">_xlfn.TEXTJOIN(", ", TRUE, _xlfn.UNIQUE(IF((A$2:A$100 = R30) * (D$2:D$100 = S30) * ((J$2:J$100 &lt;= 0.05)), L$2:L$100, "")))</f>
        <v/>
      </c>
      <c r="AH30" s="51" t="str">
        <f t="shared" si="4"/>
        <v>OR / RRR</v>
      </c>
      <c r="AU30" s="1"/>
      <c r="AV30" s="1" t="str" cm="1">
        <f t="array" ref="AV30">INDEX($AU$1:$AU$100,INT((ROW(A30)-1)/3)+1)</f>
        <v>Clinical Guidelines Consistent</v>
      </c>
      <c r="AW30" s="1" t="str" cm="1">
        <f t="array" ref="AW30">INDEX({"OR","RRR","ME"},MOD(ROW(AH30)-1,3)+1)</f>
        <v>ME</v>
      </c>
    </row>
    <row r="31" spans="1:49" ht="45">
      <c r="A31" s="106" t="s">
        <v>1142</v>
      </c>
      <c r="B31" s="93" t="s">
        <v>966</v>
      </c>
      <c r="C31" s="96" t="s">
        <v>1143</v>
      </c>
      <c r="D31" s="93" t="s">
        <v>879</v>
      </c>
      <c r="E31" s="95">
        <v>1.9581999999999999</v>
      </c>
      <c r="F31" s="95">
        <v>0.71750000000000003</v>
      </c>
      <c r="G31" s="95">
        <v>5.3444000000000003</v>
      </c>
      <c r="H31" s="95"/>
      <c r="I31" s="95"/>
      <c r="J31" s="96" t="s">
        <v>886</v>
      </c>
      <c r="K31" s="96" t="s">
        <v>967</v>
      </c>
      <c r="L31" s="100" t="s">
        <v>968</v>
      </c>
      <c r="R31" s="44" t="str">
        <f t="shared" si="0"/>
        <v>Clinical Guidelines Consistent</v>
      </c>
      <c r="S31" s="51" t="str">
        <f t="shared" si="1"/>
        <v>ME</v>
      </c>
      <c r="T31" s="51" t="str">
        <f t="shared" si="13"/>
        <v>0-0</v>
      </c>
      <c r="U31" s="51" t="e" cm="1" vm="1">
        <f t="array" ref="U31">_xlfn.TEXTJOIN(", ", TRUE, _xlfn.UNIQUE(_xlfn._xlws.FILTER(K$2:K$100, (A$2:A$100 = R31) * (D$2:D$100 = S31))))</f>
        <v>#VALUE!</v>
      </c>
      <c r="V31" s="51" t="str" cm="1">
        <f t="array" ref="V31">_xlfn.TEXTJOIN(", ", TRUE, _xlfn.UNIQUE(IF((A$2:A$100 = R31) * (D$2:D$100 = S31), L$2:L$100, "")))</f>
        <v/>
      </c>
      <c r="AA31" s="44" t="str">
        <f t="shared" si="2"/>
        <v>Clinical Guidelines Consistent</v>
      </c>
      <c r="AB31" s="51" t="str">
        <f t="shared" si="3"/>
        <v>ME</v>
      </c>
      <c r="AC31" s="194" t="e">
        <f t="shared" si="5"/>
        <v>#VALUE!</v>
      </c>
      <c r="AD31" s="51" t="str">
        <f t="shared" si="6"/>
        <v>NA</v>
      </c>
      <c r="AE31" s="51" t="str">
        <f t="shared" si="7"/>
        <v>NA</v>
      </c>
      <c r="AF31" s="51" t="str" cm="1">
        <f t="array" ref="AF31">IFERROR(_xlfn.TEXTJOIN(", ", TRUE, _xlfn.UNIQUE(_xlfn._xlws.FILTER(K$2:K$100, (A$2:A$100 = AA31) * (D$2:D$100 = AB31) * ((J$2:J$100 &lt;= 0.05))))), "")</f>
        <v/>
      </c>
      <c r="AG31" s="51" t="str" cm="1">
        <f t="array" ref="AG31">_xlfn.TEXTJOIN(", ", TRUE, _xlfn.UNIQUE(IF((A$2:A$100 = R31) * (D$2:D$100 = S31) * ((J$2:J$100 &lt;= 0.05)), L$2:L$100, "")))</f>
        <v/>
      </c>
      <c r="AH31" s="51" t="str">
        <f t="shared" si="4"/>
        <v>ME</v>
      </c>
      <c r="AU31" s="1"/>
      <c r="AV31" s="1" t="str" cm="1">
        <f t="array" ref="AV31">INDEX($AU$1:$AU$100,INT((ROW(A31)-1)/3)+1)</f>
        <v>Number of Patients</v>
      </c>
      <c r="AW31" s="1" t="str" cm="1">
        <f t="array" ref="AW31">INDEX({"OR","RRR","ME"},MOD(ROW(AH31)-1,3)+1)</f>
        <v>OR</v>
      </c>
    </row>
    <row r="32" spans="1:49" ht="45">
      <c r="A32" s="106"/>
      <c r="B32" s="106" t="s">
        <v>885</v>
      </c>
      <c r="C32" s="96" t="s">
        <v>1144</v>
      </c>
      <c r="D32" s="93" t="s">
        <v>879</v>
      </c>
      <c r="E32" s="95">
        <v>0.251</v>
      </c>
      <c r="F32" s="95"/>
      <c r="G32" s="95"/>
      <c r="H32" s="95"/>
      <c r="I32" s="95"/>
      <c r="J32" s="96">
        <v>0.05</v>
      </c>
      <c r="K32" s="96" t="s">
        <v>216</v>
      </c>
      <c r="L32" s="92" t="s">
        <v>1079</v>
      </c>
      <c r="R32" s="44" t="str">
        <f t="shared" si="0"/>
        <v>Number of Patients</v>
      </c>
      <c r="S32" s="51" t="str">
        <f t="shared" si="1"/>
        <v>OR</v>
      </c>
      <c r="T32" s="51" t="str">
        <f t="shared" si="13"/>
        <v>0,98-1,28</v>
      </c>
      <c r="U32" s="51" t="str" cm="1">
        <f t="array" ref="U32">_xlfn.TEXTJOIN(", ", TRUE, _xlfn.UNIQUE(_xlfn._xlws.FILTER(K$2:K$100, (A$2:A$100 = R32) * (D$2:D$100 = S32))))</f>
        <v>USA MEDICARE, Belgium</v>
      </c>
      <c r="V32" s="51" t="str" cm="1">
        <f t="array" ref="V32">_xlfn.TEXTJOIN(", ", TRUE, _xlfn.UNIQUE(IF((A$2:A$100 = R32) * (D$2:D$100 = S32), L$2:L$100, "")))</f>
        <v>(Chambers et al., 2015), (Pauwels et al., 2015)</v>
      </c>
      <c r="AA32" s="44" t="str">
        <f t="shared" si="2"/>
        <v>Number of Patients</v>
      </c>
      <c r="AB32" s="51" t="str">
        <f t="shared" si="3"/>
        <v>OR</v>
      </c>
      <c r="AC32" s="194">
        <f t="shared" si="5"/>
        <v>0.98</v>
      </c>
      <c r="AD32" s="51">
        <f t="shared" si="6"/>
        <v>0.98099999999999998</v>
      </c>
      <c r="AE32" s="51">
        <f t="shared" si="7"/>
        <v>0.98099999999999998</v>
      </c>
      <c r="AF32" s="51" t="str" cm="1">
        <f t="array" ref="AF32">IFERROR(_xlfn.TEXTJOIN(", ", TRUE, _xlfn.UNIQUE(_xlfn._xlws.FILTER(K$2:K$100, (A$2:A$100 = AA32) * (D$2:D$100 = AB32) * ((J$2:J$100 &lt;= 0.05))))), "")</f>
        <v>Belgium</v>
      </c>
      <c r="AG32" s="51" t="str" cm="1">
        <f t="array" ref="AG32">_xlfn.TEXTJOIN(", ", TRUE, _xlfn.UNIQUE(IF((A$2:A$100 = R32) * (D$2:D$100 = S32) * ((J$2:J$100 &lt;= 0.05)), L$2:L$100, "")))</f>
        <v>(Pauwels et al., 2015)</v>
      </c>
      <c r="AH32" s="51" t="str">
        <f t="shared" si="4"/>
        <v>OR / RRR</v>
      </c>
      <c r="AU32" s="1"/>
      <c r="AV32" s="1" t="str" cm="1">
        <f t="array" ref="AV32">INDEX($AU$1:$AU$100,INT((ROW(A32)-1)/3)+1)</f>
        <v>Number of Patients</v>
      </c>
      <c r="AW32" s="1" t="str" cm="1">
        <f t="array" ref="AW32">INDEX({"OR","RRR","ME"},MOD(ROW(AH32)-1,3)+1)</f>
        <v>RRR</v>
      </c>
    </row>
    <row r="33" spans="1:49" ht="60">
      <c r="A33" s="100" t="s">
        <v>1138</v>
      </c>
      <c r="B33" s="106" t="s">
        <v>878</v>
      </c>
      <c r="C33" s="100" t="s">
        <v>1138</v>
      </c>
      <c r="D33" s="106" t="s">
        <v>879</v>
      </c>
      <c r="E33" s="126">
        <f>EXP(-0.51)</f>
        <v>0.6004955788122659</v>
      </c>
      <c r="F33" s="126">
        <f>EXP(-2.136)</f>
        <v>0.11812640488885146</v>
      </c>
      <c r="G33" s="126">
        <f>EXP(1.053)</f>
        <v>2.8662369437164648</v>
      </c>
      <c r="H33" s="126"/>
      <c r="I33" s="126"/>
      <c r="J33" s="100">
        <v>0.50600000000000001</v>
      </c>
      <c r="K33" s="100" t="s">
        <v>365</v>
      </c>
      <c r="L33" s="100" t="s">
        <v>1145</v>
      </c>
      <c r="R33" s="44" t="str">
        <f t="shared" si="0"/>
        <v>Number of Patients</v>
      </c>
      <c r="S33" s="51" t="str">
        <f t="shared" si="1"/>
        <v>RRR</v>
      </c>
      <c r="T33" s="51" t="str">
        <f t="shared" si="13"/>
        <v>1-1,07</v>
      </c>
      <c r="U33" s="51" t="str" cm="1">
        <f t="array" ref="U33">_xlfn.TEXTJOIN(", ", TRUE, _xlfn.UNIQUE(_xlfn._xlws.FILTER(K$2:K$100, (A$2:A$100 = R33) * (D$2:D$100 = S33))))</f>
        <v>UK</v>
      </c>
      <c r="V33" s="51" t="str" cm="1">
        <f t="array" ref="V33">_xlfn.TEXTJOIN(", ", TRUE, _xlfn.UNIQUE(IF((A$2:A$100 = R33) * (D$2:D$100 = S33), L$2:L$100, "")))</f>
        <v>(H. Dakin, Devlin, Feng, Rice, O’Neill, et al., 2015), (H. A. Dakin et al., 2006)</v>
      </c>
      <c r="AA33" s="44" t="str">
        <f t="shared" si="2"/>
        <v>Number of Patients</v>
      </c>
      <c r="AB33" s="51" t="str">
        <f t="shared" si="3"/>
        <v>RRR</v>
      </c>
      <c r="AC33" s="194" t="e">
        <f t="shared" si="5"/>
        <v>#VALUE!</v>
      </c>
      <c r="AD33" s="51" t="str">
        <f t="shared" si="6"/>
        <v>NA</v>
      </c>
      <c r="AE33" s="51" t="str">
        <f t="shared" si="7"/>
        <v>NA</v>
      </c>
      <c r="AF33" s="51" t="str" cm="1">
        <f t="array" ref="AF33">IFERROR(_xlfn.TEXTJOIN(", ", TRUE, _xlfn.UNIQUE(_xlfn._xlws.FILTER(K$2:K$100, (A$2:A$100 = AA33) * (D$2:D$100 = AB33) * ((J$2:J$100 &lt;= 0.05))))), "")</f>
        <v/>
      </c>
      <c r="AG33" s="51" t="str" cm="1">
        <f t="array" ref="AG33">_xlfn.TEXTJOIN(", ", TRUE, _xlfn.UNIQUE(IF((A$2:A$100 = R33) * (D$2:D$100 = S33) * ((J$2:J$100 &lt;= 0.05)), L$2:L$100, "")))</f>
        <v/>
      </c>
      <c r="AH33" s="51" t="str">
        <f t="shared" si="4"/>
        <v>OR / RRR</v>
      </c>
      <c r="AU33" s="1"/>
      <c r="AV33" s="1" t="str" cm="1">
        <f t="array" ref="AV33">INDEX($AU$1:$AU$100,INT((ROW(A33)-1)/3)+1)</f>
        <v>Number of Patients</v>
      </c>
      <c r="AW33" s="1" t="str" cm="1">
        <f t="array" ref="AW33">INDEX({"OR","RRR","ME"},MOD(ROW(AH33)-1,3)+1)</f>
        <v>ME</v>
      </c>
    </row>
    <row r="34" spans="1:49" ht="90">
      <c r="A34" s="260" t="s">
        <v>1146</v>
      </c>
      <c r="B34" s="260" t="s">
        <v>885</v>
      </c>
      <c r="C34" s="261" t="s">
        <v>1147</v>
      </c>
      <c r="D34" s="260" t="s">
        <v>879</v>
      </c>
      <c r="E34" s="262">
        <v>0.76</v>
      </c>
      <c r="F34" s="262"/>
      <c r="G34" s="262"/>
      <c r="H34" s="262">
        <v>7.1999999999999995E-2</v>
      </c>
      <c r="I34" s="262"/>
      <c r="J34" s="261">
        <v>0.01</v>
      </c>
      <c r="K34" s="263" t="s">
        <v>887</v>
      </c>
      <c r="L34" s="264" t="s">
        <v>888</v>
      </c>
      <c r="R34" s="44" t="str">
        <f t="shared" ref="R34:R68" si="30">AV33</f>
        <v>Number of Patients</v>
      </c>
      <c r="S34" s="51" t="str">
        <f t="shared" ref="S34:S68" si="31">AW33</f>
        <v>ME</v>
      </c>
      <c r="T34" s="51" t="str">
        <f t="shared" si="13"/>
        <v>0-0</v>
      </c>
      <c r="U34" s="51" t="e" cm="1" vm="1">
        <f t="array" ref="U34">_xlfn.TEXTJOIN(", ", TRUE, _xlfn.UNIQUE(_xlfn._xlws.FILTER(K$2:K$100, (A$2:A$100 = R34) * (D$2:D$100 = S34))))</f>
        <v>#VALUE!</v>
      </c>
      <c r="V34" s="51" t="str" cm="1">
        <f t="array" ref="V34">_xlfn.TEXTJOIN(", ", TRUE, _xlfn.UNIQUE(IF((A$2:A$100 = R34) * (D$2:D$100 = S34), L$2:L$100, "")))</f>
        <v/>
      </c>
      <c r="AA34" s="44" t="str">
        <f t="shared" ref="AA34:AA61" si="32">AV33</f>
        <v>Number of Patients</v>
      </c>
      <c r="AB34" s="51" t="str">
        <f t="shared" ref="AB34:AB61" si="33">AW33</f>
        <v>ME</v>
      </c>
      <c r="AC34" s="194" t="e">
        <f t="shared" si="5"/>
        <v>#VALUE!</v>
      </c>
      <c r="AD34" s="51" t="str">
        <f t="shared" si="6"/>
        <v>NA</v>
      </c>
      <c r="AE34" s="51" t="str">
        <f t="shared" si="7"/>
        <v>NA</v>
      </c>
      <c r="AF34" s="51" t="str" cm="1">
        <f t="array" ref="AF34">IFERROR(_xlfn.TEXTJOIN(", ", TRUE, _xlfn.UNIQUE(_xlfn._xlws.FILTER(K$2:K$100, (A$2:A$100 = AA34) * (D$2:D$100 = AB34) * ((J$2:J$100 &lt;= 0.05))))), "")</f>
        <v/>
      </c>
      <c r="AG34" s="51" t="str" cm="1">
        <f t="array" ref="AG34">_xlfn.TEXTJOIN(", ", TRUE, _xlfn.UNIQUE(IF((A$2:A$100 = R34) * (D$2:D$100 = S34) * ((J$2:J$100 &lt;= 0.05)), L$2:L$100, "")))</f>
        <v/>
      </c>
      <c r="AH34" s="51" t="str">
        <f t="shared" ref="AH34:AH61" si="34">IF(OR(AB34="OR", AB34="RRR"), "OR / RRR", AB34)</f>
        <v>ME</v>
      </c>
      <c r="AU34" s="1"/>
      <c r="AV34" s="1" t="str" cm="1">
        <f t="array" ref="AV34">INDEX($AU$1:$AU$100,INT((ROW(A34)-1)/3)+1)</f>
        <v>Meta-Analysis Presence</v>
      </c>
      <c r="AW34" s="1" t="str" cm="1">
        <f t="array" ref="AW34">INDEX({"OR","RRR","ME"},MOD(ROW(AH34)-1,3)+1)</f>
        <v>OR</v>
      </c>
    </row>
    <row r="35" spans="1:49" ht="45">
      <c r="A35" s="257" t="s">
        <v>1146</v>
      </c>
      <c r="B35" s="257" t="s">
        <v>885</v>
      </c>
      <c r="C35" s="256" t="s">
        <v>1147</v>
      </c>
      <c r="D35" s="257" t="s">
        <v>894</v>
      </c>
      <c r="E35" s="258">
        <v>-2.7E-2</v>
      </c>
      <c r="F35" s="258">
        <f>E35-1.96*H35</f>
        <v>-4.4639999999999999E-2</v>
      </c>
      <c r="G35" s="258">
        <f>E35+1.96*H35</f>
        <v>-9.3600000000000003E-3</v>
      </c>
      <c r="H35" s="258">
        <v>8.9999999999999993E-3</v>
      </c>
      <c r="I35" s="258"/>
      <c r="J35" s="256">
        <v>0.01</v>
      </c>
      <c r="K35" s="256" t="s">
        <v>960</v>
      </c>
      <c r="L35" s="259" t="s">
        <v>888</v>
      </c>
      <c r="R35" s="44" t="str">
        <f t="shared" si="30"/>
        <v>Meta-Analysis Presence</v>
      </c>
      <c r="S35" s="51" t="str">
        <f t="shared" si="31"/>
        <v>OR</v>
      </c>
      <c r="T35" s="51" t="str">
        <f t="shared" si="13"/>
        <v>2,19-2,19</v>
      </c>
      <c r="U35" s="51" t="str" cm="1">
        <f t="array" ref="U35">_xlfn.TEXTJOIN(", ", TRUE, _xlfn.UNIQUE(_xlfn._xlws.FILTER(K$2:K$100, (A$2:A$100 = R35) * (D$2:D$100 = S35))))</f>
        <v>UK</v>
      </c>
      <c r="V35" s="51" t="str" cm="1">
        <f t="array" ref="V35">_xlfn.TEXTJOIN(", ", TRUE, _xlfn.UNIQUE(IF((A$2:A$100 = R35) * (D$2:D$100 = S35), L$2:L$100, "")))</f>
        <v>(Mauskopf et al., 2013)</v>
      </c>
      <c r="AA35" s="44" t="str">
        <f t="shared" si="32"/>
        <v>Meta-Analysis Presence</v>
      </c>
      <c r="AB35" s="51" t="str">
        <f t="shared" si="33"/>
        <v>OR</v>
      </c>
      <c r="AC35" s="194" t="e">
        <f t="shared" si="5"/>
        <v>#VALUE!</v>
      </c>
      <c r="AD35" s="51" t="str">
        <f t="shared" si="6"/>
        <v>NA</v>
      </c>
      <c r="AE35" s="51" t="str">
        <f t="shared" si="7"/>
        <v>NA</v>
      </c>
      <c r="AF35" s="51" t="str" cm="1">
        <f t="array" ref="AF35">IFERROR(_xlfn.TEXTJOIN(", ", TRUE, _xlfn.UNIQUE(_xlfn._xlws.FILTER(K$2:K$100, (A$2:A$100 = AA35) * (D$2:D$100 = AB35) * ((J$2:J$100 &lt;= 0.05))))), "")</f>
        <v/>
      </c>
      <c r="AG35" s="51" t="str" cm="1">
        <f t="array" ref="AG35">_xlfn.TEXTJOIN(", ", TRUE, _xlfn.UNIQUE(IF((A$2:A$100 = R35) * (D$2:D$100 = S35) * ((J$2:J$100 &lt;= 0.05)), L$2:L$100, "")))</f>
        <v/>
      </c>
      <c r="AH35" s="51" t="str">
        <f t="shared" si="34"/>
        <v>OR / RRR</v>
      </c>
      <c r="AU35" s="1"/>
      <c r="AV35" s="1" t="str" cm="1">
        <f t="array" ref="AV35">INDEX($AU$1:$AU$100,INT((ROW(A35)-1)/3)+1)</f>
        <v>Meta-Analysis Presence</v>
      </c>
      <c r="AW35" s="1" t="str" cm="1">
        <f t="array" ref="AW35">INDEX({"OR","RRR","ME"},MOD(ROW(AH35)-1,3)+1)</f>
        <v>RRR</v>
      </c>
    </row>
    <row r="36" spans="1:49" ht="45">
      <c r="A36" s="257" t="s">
        <v>1146</v>
      </c>
      <c r="B36" s="257" t="s">
        <v>885</v>
      </c>
      <c r="C36" s="256" t="s">
        <v>1147</v>
      </c>
      <c r="D36" s="257" t="s">
        <v>894</v>
      </c>
      <c r="E36" s="258">
        <v>-7.0000000000000001E-3</v>
      </c>
      <c r="F36" s="258">
        <f t="shared" ref="F36:F38" si="35">E36-1.96*H36</f>
        <v>-1.6799999999999999E-2</v>
      </c>
      <c r="G36" s="258">
        <f t="shared" ref="G36:G38" si="36">E36+1.96*H36</f>
        <v>2.7999999999999995E-3</v>
      </c>
      <c r="H36" s="258">
        <v>5.0000000000000001E-3</v>
      </c>
      <c r="I36" s="258"/>
      <c r="J36" s="256" t="s">
        <v>886</v>
      </c>
      <c r="K36" s="256" t="s">
        <v>565</v>
      </c>
      <c r="L36" s="259" t="s">
        <v>888</v>
      </c>
      <c r="R36" s="44" t="str">
        <f t="shared" si="30"/>
        <v>Meta-Analysis Presence</v>
      </c>
      <c r="S36" s="51" t="str">
        <f t="shared" si="31"/>
        <v>RRR</v>
      </c>
      <c r="T36" s="51" t="str">
        <f t="shared" si="13"/>
        <v>0-0</v>
      </c>
      <c r="U36" s="51" t="e" cm="1" vm="1">
        <f t="array" ref="U36">_xlfn.TEXTJOIN(", ", TRUE, _xlfn.UNIQUE(_xlfn._xlws.FILTER(K$2:K$100, (A$2:A$100 = R36) * (D$2:D$100 = S36))))</f>
        <v>#VALUE!</v>
      </c>
      <c r="V36" s="51" t="str" cm="1">
        <f t="array" ref="V36">_xlfn.TEXTJOIN(", ", TRUE, _xlfn.UNIQUE(IF((A$2:A$100 = R36) * (D$2:D$100 = S36), L$2:L$100, "")))</f>
        <v/>
      </c>
      <c r="AA36" s="44" t="str">
        <f t="shared" si="32"/>
        <v>Meta-Analysis Presence</v>
      </c>
      <c r="AB36" s="51" t="str">
        <f t="shared" si="33"/>
        <v>RRR</v>
      </c>
      <c r="AC36" s="194" t="e">
        <f t="shared" si="5"/>
        <v>#VALUE!</v>
      </c>
      <c r="AD36" s="51" t="str">
        <f t="shared" si="6"/>
        <v>NA</v>
      </c>
      <c r="AE36" s="51" t="str">
        <f t="shared" si="7"/>
        <v>NA</v>
      </c>
      <c r="AF36" s="51" t="str" cm="1">
        <f t="array" ref="AF36">IFERROR(_xlfn.TEXTJOIN(", ", TRUE, _xlfn.UNIQUE(_xlfn._xlws.FILTER(K$2:K$100, (A$2:A$100 = AA36) * (D$2:D$100 = AB36) * ((J$2:J$100 &lt;= 0.05))))), "")</f>
        <v/>
      </c>
      <c r="AG36" s="51" t="str" cm="1">
        <f t="array" ref="AG36">_xlfn.TEXTJOIN(", ", TRUE, _xlfn.UNIQUE(IF((A$2:A$100 = R36) * (D$2:D$100 = S36) * ((J$2:J$100 &lt;= 0.05)), L$2:L$100, "")))</f>
        <v/>
      </c>
      <c r="AH36" s="51" t="str">
        <f t="shared" si="34"/>
        <v>OR / RRR</v>
      </c>
      <c r="AU36" s="1"/>
      <c r="AV36" s="1" t="str" cm="1">
        <f t="array" ref="AV36">INDEX($AU$1:$AU$100,INT((ROW(A36)-1)/3)+1)</f>
        <v>Meta-Analysis Presence</v>
      </c>
      <c r="AW36" s="1" t="str" cm="1">
        <f t="array" ref="AW36">INDEX({"OR","RRR","ME"},MOD(ROW(AH36)-1,3)+1)</f>
        <v>ME</v>
      </c>
    </row>
    <row r="37" spans="1:49" ht="45">
      <c r="A37" s="257" t="s">
        <v>1146</v>
      </c>
      <c r="B37" s="257" t="s">
        <v>885</v>
      </c>
      <c r="C37" s="256" t="s">
        <v>1147</v>
      </c>
      <c r="D37" s="257" t="s">
        <v>894</v>
      </c>
      <c r="E37" s="258">
        <v>-1.9E-2</v>
      </c>
      <c r="F37" s="258">
        <f t="shared" si="35"/>
        <v>-3.2719999999999999E-2</v>
      </c>
      <c r="G37" s="258">
        <f t="shared" si="36"/>
        <v>-5.28E-3</v>
      </c>
      <c r="H37" s="258">
        <v>7.0000000000000001E-3</v>
      </c>
      <c r="I37" s="258"/>
      <c r="J37" s="256">
        <v>0.05</v>
      </c>
      <c r="K37" s="256" t="s">
        <v>548</v>
      </c>
      <c r="L37" s="259" t="s">
        <v>888</v>
      </c>
      <c r="R37" s="44" t="str">
        <f t="shared" si="30"/>
        <v>Meta-Analysis Presence</v>
      </c>
      <c r="S37" s="51" t="str">
        <f t="shared" si="31"/>
        <v>ME</v>
      </c>
      <c r="T37" s="51" t="str">
        <f t="shared" si="13"/>
        <v>0-0</v>
      </c>
      <c r="U37" s="51" t="e" cm="1" vm="1">
        <f t="array" ref="U37">_xlfn.TEXTJOIN(", ", TRUE, _xlfn.UNIQUE(_xlfn._xlws.FILTER(K$2:K$100, (A$2:A$100 = R37) * (D$2:D$100 = S37))))</f>
        <v>#VALUE!</v>
      </c>
      <c r="V37" s="51" t="str" cm="1">
        <f t="array" ref="V37">_xlfn.TEXTJOIN(", ", TRUE, _xlfn.UNIQUE(IF((A$2:A$100 = R37) * (D$2:D$100 = S37), L$2:L$100, "")))</f>
        <v/>
      </c>
      <c r="AA37" s="44" t="str">
        <f t="shared" si="32"/>
        <v>Meta-Analysis Presence</v>
      </c>
      <c r="AB37" s="51" t="str">
        <f t="shared" si="33"/>
        <v>ME</v>
      </c>
      <c r="AC37" s="194" t="e">
        <f t="shared" si="5"/>
        <v>#VALUE!</v>
      </c>
      <c r="AD37" s="51" t="str">
        <f t="shared" si="6"/>
        <v>NA</v>
      </c>
      <c r="AE37" s="51" t="str">
        <f t="shared" si="7"/>
        <v>NA</v>
      </c>
      <c r="AF37" s="51" t="str" cm="1">
        <f t="array" ref="AF37">IFERROR(_xlfn.TEXTJOIN(", ", TRUE, _xlfn.UNIQUE(_xlfn._xlws.FILTER(K$2:K$100, (A$2:A$100 = AA37) * (D$2:D$100 = AB37) * ((J$2:J$100 &lt;= 0.05))))), "")</f>
        <v/>
      </c>
      <c r="AG37" s="51" t="str" cm="1">
        <f t="array" ref="AG37">_xlfn.TEXTJOIN(", ", TRUE, _xlfn.UNIQUE(IF((A$2:A$100 = R37) * (D$2:D$100 = S37) * ((J$2:J$100 &lt;= 0.05)), L$2:L$100, "")))</f>
        <v/>
      </c>
      <c r="AH37" s="51" t="str">
        <f t="shared" si="34"/>
        <v>ME</v>
      </c>
      <c r="AU37" s="1"/>
      <c r="AV37" s="1" t="str" cm="1">
        <f t="array" ref="AV37">INDEX($AU$1:$AU$100,INT((ROW(A37)-1)/3)+1)</f>
        <v>Number of Systematic Reviews</v>
      </c>
      <c r="AW37" s="1" t="str" cm="1">
        <f t="array" ref="AW37">INDEX({"OR","RRR","ME"},MOD(ROW(AH37)-1,3)+1)</f>
        <v>OR</v>
      </c>
    </row>
    <row r="38" spans="1:49" ht="45">
      <c r="A38" s="257" t="s">
        <v>1146</v>
      </c>
      <c r="B38" s="257" t="s">
        <v>885</v>
      </c>
      <c r="C38" s="256" t="s">
        <v>1147</v>
      </c>
      <c r="D38" s="257" t="s">
        <v>894</v>
      </c>
      <c r="E38" s="258">
        <v>1.4999999999999999E-2</v>
      </c>
      <c r="F38" s="258">
        <f t="shared" si="35"/>
        <v>5.1999999999999998E-3</v>
      </c>
      <c r="G38" s="258">
        <f t="shared" si="36"/>
        <v>2.4799999999999999E-2</v>
      </c>
      <c r="H38" s="258">
        <v>5.0000000000000001E-3</v>
      </c>
      <c r="I38" s="258"/>
      <c r="J38" s="256">
        <v>0.01</v>
      </c>
      <c r="K38" s="256" t="s">
        <v>840</v>
      </c>
      <c r="L38" s="259" t="s">
        <v>888</v>
      </c>
      <c r="R38" s="44" t="str">
        <f t="shared" si="30"/>
        <v>Number of Systematic Reviews</v>
      </c>
      <c r="S38" s="51" t="str">
        <f t="shared" si="31"/>
        <v>OR</v>
      </c>
      <c r="T38" s="51" t="str">
        <f t="shared" si="13"/>
        <v>1,02-1,02</v>
      </c>
      <c r="U38" s="51" t="str" cm="1">
        <f t="array" ref="U38">_xlfn.TEXTJOIN(", ", TRUE, _xlfn.UNIQUE(_xlfn._xlws.FILTER(K$2:K$100, (A$2:A$100 = R38) * (D$2:D$100 = S38))))</f>
        <v>UK</v>
      </c>
      <c r="V38" s="51" t="str" cm="1">
        <f t="array" ref="V38">_xlfn.TEXTJOIN(", ", TRUE, _xlfn.UNIQUE(IF((A$2:A$100 = R38) * (D$2:D$100 = S38), L$2:L$100, "")))</f>
        <v>(H. Dakin, Devlin, Feng, Rice, O’Neill, et al., 2015)</v>
      </c>
      <c r="AA38" s="44" t="str">
        <f t="shared" si="32"/>
        <v>Number of Systematic Reviews</v>
      </c>
      <c r="AB38" s="51" t="str">
        <f t="shared" si="33"/>
        <v>OR</v>
      </c>
      <c r="AC38" s="194" t="e">
        <f t="shared" si="5"/>
        <v>#VALUE!</v>
      </c>
      <c r="AD38" s="51" t="str">
        <f t="shared" si="6"/>
        <v>NA</v>
      </c>
      <c r="AE38" s="51" t="str">
        <f t="shared" si="7"/>
        <v>NA</v>
      </c>
      <c r="AF38" s="51" t="str" cm="1">
        <f t="array" ref="AF38">IFERROR(_xlfn.TEXTJOIN(", ", TRUE, _xlfn.UNIQUE(_xlfn._xlws.FILTER(K$2:K$100, (A$2:A$100 = AA38) * (D$2:D$100 = AB38) * ((J$2:J$100 &lt;= 0.05))))), "")</f>
        <v/>
      </c>
      <c r="AG38" s="51" t="str" cm="1">
        <f t="array" ref="AG38">_xlfn.TEXTJOIN(", ", TRUE, _xlfn.UNIQUE(IF((A$2:A$100 = R38) * (D$2:D$100 = S38) * ((J$2:J$100 &lt;= 0.05)), L$2:L$100, "")))</f>
        <v/>
      </c>
      <c r="AH38" s="51" t="str">
        <f t="shared" si="34"/>
        <v>OR / RRR</v>
      </c>
      <c r="AU38" s="1"/>
      <c r="AV38" s="1" t="str" cm="1">
        <f t="array" ref="AV38">INDEX($AU$1:$AU$100,INT((ROW(A38)-1)/3)+1)</f>
        <v>Number of Systematic Reviews</v>
      </c>
      <c r="AW38" s="1" t="str" cm="1">
        <f t="array" ref="AW38">INDEX({"OR","RRR","ME"},MOD(ROW(AH38)-1,3)+1)</f>
        <v>RRR</v>
      </c>
    </row>
    <row r="39" spans="1:49" ht="51" customHeight="1">
      <c r="A39" s="260" t="s">
        <v>1146</v>
      </c>
      <c r="B39" s="260" t="s">
        <v>878</v>
      </c>
      <c r="C39" s="265" t="s">
        <v>1148</v>
      </c>
      <c r="D39" s="260" t="s">
        <v>879</v>
      </c>
      <c r="E39" s="266">
        <f>EXP(-5.482)</f>
        <v>4.1609993716113722E-3</v>
      </c>
      <c r="F39" s="262">
        <f>EXP(-8.912)</f>
        <v>1.3476204020448085E-4</v>
      </c>
      <c r="G39" s="262">
        <f>EXP(-2.053)</f>
        <v>0.12834927760523412</v>
      </c>
      <c r="H39" s="262"/>
      <c r="I39" s="262"/>
      <c r="J39" s="265">
        <v>1E-3</v>
      </c>
      <c r="K39" s="265" t="s">
        <v>365</v>
      </c>
      <c r="L39" s="265" t="s">
        <v>895</v>
      </c>
      <c r="R39" s="44" t="str">
        <f t="shared" si="30"/>
        <v>Number of Systematic Reviews</v>
      </c>
      <c r="S39" s="51" t="str">
        <f t="shared" si="31"/>
        <v>RRR</v>
      </c>
      <c r="T39" s="51" t="str">
        <f t="shared" si="13"/>
        <v>0-0</v>
      </c>
      <c r="U39" s="51" t="e" cm="1" vm="1">
        <f t="array" ref="U39">_xlfn.TEXTJOIN(", ", TRUE, _xlfn.UNIQUE(_xlfn._xlws.FILTER(K$2:K$100, (A$2:A$100 = R39) * (D$2:D$100 = S39))))</f>
        <v>#VALUE!</v>
      </c>
      <c r="V39" s="51" t="str" cm="1">
        <f t="array" ref="V39">_xlfn.TEXTJOIN(", ", TRUE, _xlfn.UNIQUE(IF((A$2:A$100 = R39) * (D$2:D$100 = S39), L$2:L$100, "")))</f>
        <v/>
      </c>
      <c r="AA39" s="44" t="str">
        <f t="shared" si="32"/>
        <v>Number of Systematic Reviews</v>
      </c>
      <c r="AB39" s="51" t="str">
        <f t="shared" si="33"/>
        <v>RRR</v>
      </c>
      <c r="AC39" s="194" t="e">
        <f t="shared" si="5"/>
        <v>#VALUE!</v>
      </c>
      <c r="AD39" s="51" t="str">
        <f t="shared" si="6"/>
        <v>NA</v>
      </c>
      <c r="AE39" s="51" t="str">
        <f t="shared" si="7"/>
        <v>NA</v>
      </c>
      <c r="AF39" s="51" t="str" cm="1">
        <f t="array" ref="AF39">IFERROR(_xlfn.TEXTJOIN(", ", TRUE, _xlfn.UNIQUE(_xlfn._xlws.FILTER(K$2:K$100, (A$2:A$100 = AA39) * (D$2:D$100 = AB39) * ((J$2:J$100 &lt;= 0.05))))), "")</f>
        <v/>
      </c>
      <c r="AG39" s="51" t="str" cm="1">
        <f t="array" ref="AG39">_xlfn.TEXTJOIN(", ", TRUE, _xlfn.UNIQUE(IF((A$2:A$100 = R39) * (D$2:D$100 = S39) * ((J$2:J$100 &lt;= 0.05)), L$2:L$100, "")))</f>
        <v/>
      </c>
      <c r="AH39" s="51" t="str">
        <f t="shared" si="34"/>
        <v>OR / RRR</v>
      </c>
      <c r="AU39" s="1"/>
      <c r="AV39" s="1" t="str" cm="1">
        <f t="array" ref="AV39">INDEX($AU$1:$AU$100,INT((ROW(A39)-1)/3)+1)</f>
        <v>Number of Systematic Reviews</v>
      </c>
      <c r="AW39" s="1" t="str" cm="1">
        <f t="array" ref="AW39">INDEX({"OR","RRR","ME"},MOD(ROW(AH39)-1,3)+1)</f>
        <v>ME</v>
      </c>
    </row>
    <row r="40" spans="1:49" ht="50.25" customHeight="1">
      <c r="A40" s="260" t="s">
        <v>1146</v>
      </c>
      <c r="B40" s="267" t="s">
        <v>897</v>
      </c>
      <c r="C40" s="261" t="s">
        <v>1149</v>
      </c>
      <c r="D40" s="260" t="s">
        <v>879</v>
      </c>
      <c r="E40" s="262">
        <f>1/8.47</f>
        <v>0.11806375442739078</v>
      </c>
      <c r="F40" s="262">
        <f>1/22.1</f>
        <v>4.5248868778280542E-2</v>
      </c>
      <c r="G40" s="262">
        <f>1/3.25</f>
        <v>0.30769230769230771</v>
      </c>
      <c r="H40" s="262"/>
      <c r="I40" s="262"/>
      <c r="J40" s="261">
        <v>1E-3</v>
      </c>
      <c r="K40" s="261" t="s">
        <v>365</v>
      </c>
      <c r="L40" s="264" t="s">
        <v>999</v>
      </c>
      <c r="R40" s="44" t="str">
        <f t="shared" si="30"/>
        <v>Number of Systematic Reviews</v>
      </c>
      <c r="S40" s="51" t="str">
        <f t="shared" si="31"/>
        <v>ME</v>
      </c>
      <c r="T40" s="51" t="str">
        <f t="shared" si="13"/>
        <v>0-0</v>
      </c>
      <c r="U40" s="51" t="e" cm="1" vm="1">
        <f t="array" ref="U40">_xlfn.TEXTJOIN(", ", TRUE, _xlfn.UNIQUE(_xlfn._xlws.FILTER(K$2:K$100, (A$2:A$100 = R40) * (D$2:D$100 = S40))))</f>
        <v>#VALUE!</v>
      </c>
      <c r="V40" s="51" t="str" cm="1">
        <f t="array" ref="V40">_xlfn.TEXTJOIN(", ", TRUE, _xlfn.UNIQUE(IF((A$2:A$100 = R40) * (D$2:D$100 = S40), L$2:L$100, "")))</f>
        <v/>
      </c>
      <c r="AA40" s="44" t="str">
        <f t="shared" si="32"/>
        <v>Number of Systematic Reviews</v>
      </c>
      <c r="AB40" s="51" t="str">
        <f t="shared" si="33"/>
        <v>ME</v>
      </c>
      <c r="AC40" s="194" t="e">
        <f t="shared" si="5"/>
        <v>#VALUE!</v>
      </c>
      <c r="AD40" s="51" t="str">
        <f t="shared" si="6"/>
        <v>NA</v>
      </c>
      <c r="AE40" s="51" t="str">
        <f t="shared" si="7"/>
        <v>NA</v>
      </c>
      <c r="AF40" s="51" t="str" cm="1">
        <f t="array" ref="AF40">IFERROR(_xlfn.TEXTJOIN(", ", TRUE, _xlfn.UNIQUE(_xlfn._xlws.FILTER(K$2:K$100, (A$2:A$100 = AA40) * (D$2:D$100 = AB40) * ((J$2:J$100 &lt;= 0.05))))), "")</f>
        <v/>
      </c>
      <c r="AG40" s="51" t="str" cm="1">
        <f t="array" ref="AG40">_xlfn.TEXTJOIN(", ", TRUE, _xlfn.UNIQUE(IF((A$2:A$100 = R40) * (D$2:D$100 = S40) * ((J$2:J$100 &lt;= 0.05)), L$2:L$100, "")))</f>
        <v/>
      </c>
      <c r="AH40" s="51" t="str">
        <f t="shared" si="34"/>
        <v>ME</v>
      </c>
      <c r="AU40" s="1"/>
      <c r="AV40" s="1" t="str" cm="1">
        <f t="array" ref="AV40">INDEX($AU$1:$AU$100,INT((ROW(A40)-1)/3)+1)</f>
        <v>Number of Observational Studies</v>
      </c>
      <c r="AW40" s="1" t="str" cm="1">
        <f t="array" ref="AW40">INDEX({"OR","RRR","ME"},MOD(ROW(AH40)-1,3)+1)</f>
        <v>OR</v>
      </c>
    </row>
    <row r="41" spans="1:49" ht="55.5" customHeight="1">
      <c r="A41" s="260" t="s">
        <v>1146</v>
      </c>
      <c r="B41" s="260" t="s">
        <v>949</v>
      </c>
      <c r="C41" s="261" t="s">
        <v>1150</v>
      </c>
      <c r="D41" s="260" t="s">
        <v>891</v>
      </c>
      <c r="E41" s="262">
        <f>1/EXP(1.78)</f>
        <v>0.16863814726859552</v>
      </c>
      <c r="F41" s="262">
        <f>1/EXP(2.81)</f>
        <v>6.0204992392373549E-2</v>
      </c>
      <c r="G41" s="262">
        <f>1/EXP(0.74)</f>
        <v>0.47711391552103444</v>
      </c>
      <c r="H41" s="262"/>
      <c r="I41" s="262"/>
      <c r="J41" s="261">
        <v>1E-3</v>
      </c>
      <c r="K41" s="261" t="s">
        <v>152</v>
      </c>
      <c r="L41" s="264" t="s">
        <v>950</v>
      </c>
      <c r="R41" s="44" t="str">
        <f t="shared" si="30"/>
        <v>Number of Observational Studies</v>
      </c>
      <c r="S41" s="51" t="str">
        <f t="shared" si="31"/>
        <v>OR</v>
      </c>
      <c r="T41" s="51" t="str">
        <f t="shared" si="13"/>
        <v>1,12-1,12</v>
      </c>
      <c r="U41" s="51" t="str" cm="1">
        <f t="array" ref="U41">_xlfn.TEXTJOIN(", ", TRUE, _xlfn.UNIQUE(_xlfn._xlws.FILTER(K$2:K$100, (A$2:A$100 = R41) * (D$2:D$100 = S41))))</f>
        <v>UK</v>
      </c>
      <c r="V41" s="51" t="str" cm="1">
        <f t="array" ref="V41">_xlfn.TEXTJOIN(", ", TRUE, _xlfn.UNIQUE(IF((A$2:A$100 = R41) * (D$2:D$100 = S41), L$2:L$100, "")))</f>
        <v>(H. Dakin, Devlin, Feng, Rice, O’Neill, et al., 2015)</v>
      </c>
      <c r="AA41" s="44" t="str">
        <f t="shared" si="32"/>
        <v>Number of Observational Studies</v>
      </c>
      <c r="AB41" s="51" t="str">
        <f t="shared" si="33"/>
        <v>OR</v>
      </c>
      <c r="AC41" s="194" t="e">
        <f t="shared" si="5"/>
        <v>#VALUE!</v>
      </c>
      <c r="AD41" s="51" t="str">
        <f t="shared" si="6"/>
        <v>NA</v>
      </c>
      <c r="AE41" s="51" t="str">
        <f t="shared" si="7"/>
        <v>NA</v>
      </c>
      <c r="AF41" s="51" t="str" cm="1">
        <f t="array" ref="AF41">IFERROR(_xlfn.TEXTJOIN(", ", TRUE, _xlfn.UNIQUE(_xlfn._xlws.FILTER(K$2:K$100, (A$2:A$100 = AA41) * (D$2:D$100 = AB41) * ((J$2:J$100 &lt;= 0.05))))), "")</f>
        <v/>
      </c>
      <c r="AG41" s="51" t="str" cm="1">
        <f t="array" ref="AG41">_xlfn.TEXTJOIN(", ", TRUE, _xlfn.UNIQUE(IF((A$2:A$100 = R41) * (D$2:D$100 = S41) * ((J$2:J$100 &lt;= 0.05)), L$2:L$100, "")))</f>
        <v/>
      </c>
      <c r="AH41" s="51" t="str">
        <f t="shared" si="34"/>
        <v>OR / RRR</v>
      </c>
      <c r="AU41" s="1"/>
      <c r="AV41" s="1" t="str" cm="1">
        <f t="array" ref="AV41">INDEX($AU$1:$AU$100,INT((ROW(A41)-1)/3)+1)</f>
        <v>Number of Observational Studies</v>
      </c>
      <c r="AW41" s="1" t="str" cm="1">
        <f t="array" ref="AW41">INDEX({"OR","RRR","ME"},MOD(ROW(AH41)-1,3)+1)</f>
        <v>RRR</v>
      </c>
    </row>
    <row r="42" spans="1:49" ht="45">
      <c r="A42" s="260" t="s">
        <v>1146</v>
      </c>
      <c r="B42" s="267" t="s">
        <v>897</v>
      </c>
      <c r="C42" s="261" t="s">
        <v>1151</v>
      </c>
      <c r="D42" s="260" t="s">
        <v>879</v>
      </c>
      <c r="E42" s="262">
        <f>1/4.703</f>
        <v>0.21263023601956196</v>
      </c>
      <c r="F42" s="262"/>
      <c r="G42" s="262"/>
      <c r="H42" s="262"/>
      <c r="I42" s="262"/>
      <c r="J42" s="261">
        <v>0.01</v>
      </c>
      <c r="K42" s="261" t="s">
        <v>1152</v>
      </c>
      <c r="L42" s="264" t="s">
        <v>1040</v>
      </c>
      <c r="R42" s="44" t="str">
        <f t="shared" si="30"/>
        <v>Number of Observational Studies</v>
      </c>
      <c r="S42" s="51" t="str">
        <f t="shared" si="31"/>
        <v>RRR</v>
      </c>
      <c r="T42" s="51" t="str">
        <f t="shared" si="13"/>
        <v>0,98-1,81</v>
      </c>
      <c r="U42" s="51" t="str" cm="1">
        <f t="array" ref="U42">_xlfn.TEXTJOIN(", ", TRUE, _xlfn.UNIQUE(_xlfn._xlws.FILTER(K$2:K$100, (A$2:A$100 = R42) * (D$2:D$100 = S42))))</f>
        <v>UK</v>
      </c>
      <c r="V42" s="51" t="str" cm="1">
        <f t="array" ref="V42">_xlfn.TEXTJOIN(", ", TRUE, _xlfn.UNIQUE(IF((A$2:A$100 = R42) * (D$2:D$100 = S42), L$2:L$100, "")))</f>
        <v>(H. A. Dakin et al., 2006)</v>
      </c>
      <c r="AA42" s="44" t="str">
        <f t="shared" si="32"/>
        <v>Number of Observational Studies</v>
      </c>
      <c r="AB42" s="51" t="str">
        <f t="shared" si="33"/>
        <v>RRR</v>
      </c>
      <c r="AC42" s="194">
        <f t="shared" si="5"/>
        <v>1.81</v>
      </c>
      <c r="AD42" s="51">
        <f t="shared" si="6"/>
        <v>1.8083182640144664</v>
      </c>
      <c r="AE42" s="51">
        <f t="shared" si="7"/>
        <v>1.8083182640144664</v>
      </c>
      <c r="AF42" s="51" t="str" cm="1">
        <f t="array" ref="AF42">IFERROR(_xlfn.TEXTJOIN(", ", TRUE, _xlfn.UNIQUE(_xlfn._xlws.FILTER(K$2:K$100, (A$2:A$100 = AA42) * (D$2:D$100 = AB42) * ((J$2:J$100 &lt;= 0.05))))), "")</f>
        <v>UK</v>
      </c>
      <c r="AG42" s="51" t="str" cm="1">
        <f t="array" ref="AG42">_xlfn.TEXTJOIN(", ", TRUE, _xlfn.UNIQUE(IF((A$2:A$100 = R42) * (D$2:D$100 = S42) * ((J$2:J$100 &lt;= 0.05)), L$2:L$100, "")))</f>
        <v>(H. A. Dakin et al., 2006)</v>
      </c>
      <c r="AH42" s="51" t="str">
        <f t="shared" si="34"/>
        <v>OR / RRR</v>
      </c>
      <c r="AU42" s="1"/>
      <c r="AV42" s="1" t="str" cm="1">
        <f t="array" ref="AV42">INDEX($AU$1:$AU$100,INT((ROW(A42)-1)/3)+1)</f>
        <v>Number of Observational Studies</v>
      </c>
      <c r="AW42" s="1" t="str" cm="1">
        <f t="array" ref="AW42">INDEX({"OR","RRR","ME"},MOD(ROW(AH42)-1,3)+1)</f>
        <v>ME</v>
      </c>
    </row>
    <row r="43" spans="1:49" ht="45">
      <c r="A43" s="260" t="s">
        <v>1146</v>
      </c>
      <c r="B43" s="267" t="s">
        <v>897</v>
      </c>
      <c r="C43" s="261" t="s">
        <v>1153</v>
      </c>
      <c r="D43" s="260" t="s">
        <v>879</v>
      </c>
      <c r="E43" s="262">
        <f>1/3.802</f>
        <v>0.26301946344029459</v>
      </c>
      <c r="F43" s="262"/>
      <c r="G43" s="262"/>
      <c r="H43" s="262"/>
      <c r="I43" s="262"/>
      <c r="J43" s="261">
        <v>0.01</v>
      </c>
      <c r="K43" s="261" t="s">
        <v>1152</v>
      </c>
      <c r="L43" s="264" t="s">
        <v>1040</v>
      </c>
      <c r="R43" s="44" t="str">
        <f t="shared" si="30"/>
        <v>Number of Observational Studies</v>
      </c>
      <c r="S43" s="51" t="str">
        <f t="shared" si="31"/>
        <v>ME</v>
      </c>
      <c r="T43" s="51" t="str">
        <f t="shared" si="13"/>
        <v>0-0</v>
      </c>
      <c r="U43" s="51" t="e" cm="1" vm="1">
        <f t="array" ref="U43">_xlfn.TEXTJOIN(", ", TRUE, _xlfn.UNIQUE(_xlfn._xlws.FILTER(K$2:K$100, (A$2:A$100 = R43) * (D$2:D$100 = S43))))</f>
        <v>#VALUE!</v>
      </c>
      <c r="V43" s="51" t="str" cm="1">
        <f t="array" ref="V43">_xlfn.TEXTJOIN(", ", TRUE, _xlfn.UNIQUE(IF((A$2:A$100 = R43) * (D$2:D$100 = S43), L$2:L$100, "")))</f>
        <v/>
      </c>
      <c r="AA43" s="44" t="str">
        <f t="shared" si="32"/>
        <v>Number of Observational Studies</v>
      </c>
      <c r="AB43" s="51" t="str">
        <f t="shared" si="33"/>
        <v>ME</v>
      </c>
      <c r="AC43" s="194" t="e">
        <f t="shared" si="5"/>
        <v>#VALUE!</v>
      </c>
      <c r="AD43" s="51" t="str">
        <f t="shared" si="6"/>
        <v>NA</v>
      </c>
      <c r="AE43" s="51" t="str">
        <f t="shared" si="7"/>
        <v>NA</v>
      </c>
      <c r="AF43" s="51" t="str" cm="1">
        <f t="array" ref="AF43">IFERROR(_xlfn.TEXTJOIN(", ", TRUE, _xlfn.UNIQUE(_xlfn._xlws.FILTER(K$2:K$100, (A$2:A$100 = AA43) * (D$2:D$100 = AB43) * ((J$2:J$100 &lt;= 0.05))))), "")</f>
        <v/>
      </c>
      <c r="AG43" s="51" t="str" cm="1">
        <f t="array" ref="AG43">_xlfn.TEXTJOIN(", ", TRUE, _xlfn.UNIQUE(IF((A$2:A$100 = R43) * (D$2:D$100 = S43) * ((J$2:J$100 &lt;= 0.05)), L$2:L$100, "")))</f>
        <v/>
      </c>
      <c r="AH43" s="51" t="str">
        <f t="shared" si="34"/>
        <v>ME</v>
      </c>
      <c r="AU43" s="1"/>
      <c r="AV43" s="1" t="str" cm="1">
        <f t="array" ref="AV43">INDEX($AU$1:$AU$100,INT((ROW(A43)-1)/3)+1)</f>
        <v>Number of Studies</v>
      </c>
      <c r="AW43" s="1" t="str" cm="1">
        <f t="array" ref="AW43">INDEX({"OR","RRR","ME"},MOD(ROW(AH43)-1,3)+1)</f>
        <v>OR</v>
      </c>
    </row>
    <row r="44" spans="1:49" ht="30">
      <c r="A44" s="43"/>
      <c r="B44" s="43"/>
      <c r="C44" s="43"/>
      <c r="D44" s="46"/>
      <c r="E44" s="48"/>
      <c r="F44" s="48"/>
      <c r="G44" s="48"/>
      <c r="H44" s="48"/>
      <c r="I44" s="48"/>
      <c r="J44" s="43"/>
      <c r="K44" s="43"/>
      <c r="L44" s="47"/>
      <c r="R44" s="44" t="str">
        <f t="shared" si="30"/>
        <v>Number of Studies</v>
      </c>
      <c r="S44" s="51" t="str">
        <f t="shared" si="31"/>
        <v>OR</v>
      </c>
      <c r="T44" s="51" t="str">
        <f t="shared" si="13"/>
        <v>1,51-1,51</v>
      </c>
      <c r="U44" s="51" t="str" cm="1">
        <f t="array" ref="U44">_xlfn.TEXTJOIN(", ", TRUE, _xlfn.UNIQUE(_xlfn._xlws.FILTER(K$2:K$100, (A$2:A$100 = R44) * (D$2:D$100 = S44))))</f>
        <v>Wales UK</v>
      </c>
      <c r="V44" s="51" t="str" cm="1">
        <f t="array" ref="V44">_xlfn.TEXTJOIN(", ", TRUE, _xlfn.UNIQUE(IF((A$2:A$100 = R44) * (D$2:D$100 = S44), L$2:L$100, "")))</f>
        <v>(Linley &amp; Hughes, 2012)</v>
      </c>
      <c r="AA44" s="44" t="str">
        <f t="shared" si="32"/>
        <v>Number of Studies</v>
      </c>
      <c r="AB44" s="51" t="str">
        <f t="shared" si="33"/>
        <v>OR</v>
      </c>
      <c r="AC44" s="194" t="e">
        <f t="shared" si="5"/>
        <v>#VALUE!</v>
      </c>
      <c r="AD44" s="51" t="str">
        <f t="shared" si="6"/>
        <v>NA</v>
      </c>
      <c r="AE44" s="51" t="str">
        <f t="shared" si="7"/>
        <v>NA</v>
      </c>
      <c r="AF44" s="51" t="str" cm="1">
        <f t="array" ref="AF44">IFERROR(_xlfn.TEXTJOIN(", ", TRUE, _xlfn.UNIQUE(_xlfn._xlws.FILTER(K$2:K$100, (A$2:A$100 = AA44) * (D$2:D$100 = AB44) * ((J$2:J$100 &lt;= 0.05))))), "")</f>
        <v/>
      </c>
      <c r="AG44" s="51" t="str" cm="1">
        <f t="array" ref="AG44">_xlfn.TEXTJOIN(", ", TRUE, _xlfn.UNIQUE(IF((A$2:A$100 = R44) * (D$2:D$100 = S44) * ((J$2:J$100 &lt;= 0.05)), L$2:L$100, "")))</f>
        <v/>
      </c>
      <c r="AH44" s="51" t="str">
        <f t="shared" si="34"/>
        <v>OR / RRR</v>
      </c>
      <c r="AU44" s="1"/>
      <c r="AV44" s="1" t="str" cm="1">
        <f t="array" ref="AV44">INDEX($AU$1:$AU$100,INT((ROW(A44)-1)/3)+1)</f>
        <v>Number of Studies</v>
      </c>
      <c r="AW44" s="1" t="str" cm="1">
        <f t="array" ref="AW44">INDEX({"OR","RRR","ME"},MOD(ROW(AH44)-1,3)+1)</f>
        <v>RRR</v>
      </c>
    </row>
    <row r="45" spans="1:49" ht="30">
      <c r="A45" s="96" t="s">
        <v>1154</v>
      </c>
      <c r="B45" s="125" t="s">
        <v>897</v>
      </c>
      <c r="C45" s="96" t="s">
        <v>1154</v>
      </c>
      <c r="D45" s="93" t="s">
        <v>879</v>
      </c>
      <c r="E45" s="95">
        <v>4.7270000000000003</v>
      </c>
      <c r="F45" s="95"/>
      <c r="G45" s="95"/>
      <c r="H45" s="95"/>
      <c r="I45" s="95"/>
      <c r="J45" s="96">
        <v>0.01</v>
      </c>
      <c r="K45" s="96" t="s">
        <v>1152</v>
      </c>
      <c r="L45" s="92" t="s">
        <v>1040</v>
      </c>
      <c r="R45" s="44" t="str">
        <f t="shared" si="30"/>
        <v>Number of Studies</v>
      </c>
      <c r="S45" s="51" t="str">
        <f t="shared" si="31"/>
        <v>RRR</v>
      </c>
      <c r="T45" s="51" t="str">
        <f t="shared" si="13"/>
        <v>0-0</v>
      </c>
      <c r="U45" s="51" t="e" cm="1" vm="1">
        <f t="array" ref="U45">_xlfn.TEXTJOIN(", ", TRUE, _xlfn.UNIQUE(_xlfn._xlws.FILTER(K$2:K$100, (A$2:A$100 = R45) * (D$2:D$100 = S45))))</f>
        <v>#VALUE!</v>
      </c>
      <c r="V45" s="51" t="str" cm="1">
        <f t="array" ref="V45">_xlfn.TEXTJOIN(", ", TRUE, _xlfn.UNIQUE(IF((A$2:A$100 = R45) * (D$2:D$100 = S45), L$2:L$100, "")))</f>
        <v/>
      </c>
      <c r="AA45" s="44" t="str">
        <f t="shared" si="32"/>
        <v>Number of Studies</v>
      </c>
      <c r="AB45" s="51" t="str">
        <f t="shared" si="33"/>
        <v>RRR</v>
      </c>
      <c r="AC45" s="194" t="e">
        <f t="shared" si="5"/>
        <v>#VALUE!</v>
      </c>
      <c r="AD45" s="51" t="str">
        <f t="shared" si="6"/>
        <v>NA</v>
      </c>
      <c r="AE45" s="51" t="str">
        <f t="shared" si="7"/>
        <v>NA</v>
      </c>
      <c r="AF45" s="51" t="str" cm="1">
        <f t="array" ref="AF45">IFERROR(_xlfn.TEXTJOIN(", ", TRUE, _xlfn.UNIQUE(_xlfn._xlws.FILTER(K$2:K$100, (A$2:A$100 = AA45) * (D$2:D$100 = AB45) * ((J$2:J$100 &lt;= 0.05))))), "")</f>
        <v/>
      </c>
      <c r="AG45" s="51" t="str" cm="1">
        <f t="array" ref="AG45">_xlfn.TEXTJOIN(", ", TRUE, _xlfn.UNIQUE(IF((A$2:A$100 = R45) * (D$2:D$100 = S45) * ((J$2:J$100 &lt;= 0.05)), L$2:L$100, "")))</f>
        <v/>
      </c>
      <c r="AH45" s="51" t="str">
        <f t="shared" si="34"/>
        <v>OR / RRR</v>
      </c>
      <c r="AU45" s="1"/>
      <c r="AV45" s="1" t="str" cm="1">
        <f t="array" ref="AV45">INDEX($AU$1:$AU$100,INT((ROW(A45)-1)/3)+1)</f>
        <v>Number of Studies</v>
      </c>
      <c r="AW45" s="1" t="str" cm="1">
        <f t="array" ref="AW45">INDEX({"OR","RRR","ME"},MOD(ROW(AH45)-1,3)+1)</f>
        <v>ME</v>
      </c>
    </row>
    <row r="46" spans="1:49" ht="75">
      <c r="A46" s="93" t="s">
        <v>1155</v>
      </c>
      <c r="B46" s="93" t="s">
        <v>878</v>
      </c>
      <c r="C46" s="92" t="s">
        <v>1156</v>
      </c>
      <c r="D46" s="93" t="s">
        <v>891</v>
      </c>
      <c r="E46" s="95">
        <f>1/0.9332</f>
        <v>1.0715816545220747</v>
      </c>
      <c r="F46" s="95">
        <f>1/0.991</f>
        <v>1.0090817356205852</v>
      </c>
      <c r="G46" s="95">
        <f>1/0.8789</f>
        <v>1.1377858686995108</v>
      </c>
      <c r="H46" s="95"/>
      <c r="I46" s="95"/>
      <c r="J46" s="96" t="s">
        <v>886</v>
      </c>
      <c r="K46" s="96" t="s">
        <v>840</v>
      </c>
      <c r="L46" s="92" t="s">
        <v>889</v>
      </c>
      <c r="R46" s="44" t="str">
        <f t="shared" si="30"/>
        <v>Number of Studies</v>
      </c>
      <c r="S46" s="51" t="str">
        <f t="shared" si="31"/>
        <v>ME</v>
      </c>
      <c r="T46" s="51" t="str">
        <f t="shared" si="13"/>
        <v>0-0</v>
      </c>
      <c r="U46" s="51" t="e" cm="1" vm="1">
        <f t="array" ref="U46">_xlfn.TEXTJOIN(", ", TRUE, _xlfn.UNIQUE(_xlfn._xlws.FILTER(K$2:K$100, (A$2:A$100 = R46) * (D$2:D$100 = S46))))</f>
        <v>#VALUE!</v>
      </c>
      <c r="V46" s="51" t="str" cm="1">
        <f t="array" ref="V46">_xlfn.TEXTJOIN(", ", TRUE, _xlfn.UNIQUE(IF((A$2:A$100 = R46) * (D$2:D$100 = S46), L$2:L$100, "")))</f>
        <v/>
      </c>
      <c r="AA46" s="44" t="str">
        <f t="shared" si="32"/>
        <v>Number of Studies</v>
      </c>
      <c r="AB46" s="51" t="str">
        <f t="shared" si="33"/>
        <v>ME</v>
      </c>
      <c r="AC46" s="194" t="e">
        <f t="shared" si="5"/>
        <v>#VALUE!</v>
      </c>
      <c r="AD46" s="51" t="str">
        <f t="shared" si="6"/>
        <v>NA</v>
      </c>
      <c r="AE46" s="51" t="str">
        <f t="shared" si="7"/>
        <v>NA</v>
      </c>
      <c r="AF46" s="51" t="str" cm="1">
        <f t="array" ref="AF46">IFERROR(_xlfn.TEXTJOIN(", ", TRUE, _xlfn.UNIQUE(_xlfn._xlws.FILTER(K$2:K$100, (A$2:A$100 = AA46) * (D$2:D$100 = AB46) * ((J$2:J$100 &lt;= 0.05))))), "")</f>
        <v/>
      </c>
      <c r="AG46" s="51" t="str" cm="1">
        <f t="array" ref="AG46">_xlfn.TEXTJOIN(", ", TRUE, _xlfn.UNIQUE(IF((A$2:A$100 = R46) * (D$2:D$100 = S46) * ((J$2:J$100 &lt;= 0.05)), L$2:L$100, "")))</f>
        <v/>
      </c>
      <c r="AH46" s="51" t="str">
        <f t="shared" si="34"/>
        <v>ME</v>
      </c>
      <c r="AU46" s="1"/>
      <c r="AV46" s="1" t="str" cm="1">
        <f t="array" ref="AV46">INDEX($AU$1:$AU$100,INT((ROW(A46)-1)/3)+1)</f>
        <v>Availability of Head-to-Head Trials</v>
      </c>
      <c r="AW46" s="1" t="str" cm="1">
        <f t="array" ref="AW46">INDEX({"OR","RRR","ME"},MOD(ROW(AH46)-1,3)+1)</f>
        <v>OR</v>
      </c>
    </row>
    <row r="47" spans="1:49" ht="45">
      <c r="A47" s="93" t="s">
        <v>1155</v>
      </c>
      <c r="B47" s="106" t="s">
        <v>914</v>
      </c>
      <c r="C47" s="92" t="s">
        <v>1156</v>
      </c>
      <c r="D47" s="93" t="s">
        <v>891</v>
      </c>
      <c r="E47" s="95">
        <f>1/1.0001</f>
        <v>0.99990000999900008</v>
      </c>
      <c r="F47" s="95">
        <f>1/1.0006</f>
        <v>0.99940035978412955</v>
      </c>
      <c r="G47" s="95">
        <f>1/0.9997</f>
        <v>1.000300090027008</v>
      </c>
      <c r="H47" s="95"/>
      <c r="I47" s="95"/>
      <c r="J47" s="96">
        <v>0.54700000000000004</v>
      </c>
      <c r="K47" s="96" t="s">
        <v>840</v>
      </c>
      <c r="L47" s="92" t="s">
        <v>916</v>
      </c>
      <c r="R47" s="44" t="str">
        <f t="shared" si="30"/>
        <v>Availability of Head-to-Head Trials</v>
      </c>
      <c r="S47" s="51" t="str">
        <f t="shared" si="31"/>
        <v>OR</v>
      </c>
      <c r="T47" s="51" t="str">
        <f t="shared" si="13"/>
        <v>0,31-0,31</v>
      </c>
      <c r="U47" s="51" t="str" cm="1">
        <f t="array" ref="U47">_xlfn.TEXTJOIN(", ", TRUE, _xlfn.UNIQUE(_xlfn._xlws.FILTER(K$2:K$100, (A$2:A$100 = R47) * (D$2:D$100 = S47))))</f>
        <v>South Korea</v>
      </c>
      <c r="V47" s="51" t="str" cm="1">
        <f t="array" ref="V47">_xlfn.TEXTJOIN(", ", TRUE, _xlfn.UNIQUE(IF((A$2:A$100 = R47) * (D$2:D$100 = S47), L$2:L$100, "")))</f>
        <v>(Bae et al., 2018)</v>
      </c>
      <c r="AA47" s="44" t="str">
        <f t="shared" si="32"/>
        <v>Availability of Head-to-Head Trials</v>
      </c>
      <c r="AB47" s="51" t="str">
        <f t="shared" si="33"/>
        <v>OR</v>
      </c>
      <c r="AC47" s="194" t="e">
        <f t="shared" si="5"/>
        <v>#VALUE!</v>
      </c>
      <c r="AD47" s="51" t="str">
        <f t="shared" si="6"/>
        <v>NA</v>
      </c>
      <c r="AE47" s="51" t="str">
        <f t="shared" si="7"/>
        <v>NA</v>
      </c>
      <c r="AF47" s="51" t="str" cm="1">
        <f t="array" ref="AF47">IFERROR(_xlfn.TEXTJOIN(", ", TRUE, _xlfn.UNIQUE(_xlfn._xlws.FILTER(K$2:K$100, (A$2:A$100 = AA47) * (D$2:D$100 = AB47) * ((J$2:J$100 &lt;= 0.05))))), "")</f>
        <v/>
      </c>
      <c r="AG47" s="51" t="str" cm="1">
        <f t="array" ref="AG47">_xlfn.TEXTJOIN(", ", TRUE, _xlfn.UNIQUE(IF((A$2:A$100 = R47) * (D$2:D$100 = S47) * ((J$2:J$100 &lt;= 0.05)), L$2:L$100, "")))</f>
        <v/>
      </c>
      <c r="AH47" s="51" t="str">
        <f t="shared" si="34"/>
        <v>OR / RRR</v>
      </c>
      <c r="AU47" s="1"/>
      <c r="AV47" s="1" t="str" cm="1">
        <f t="array" ref="AV47">INDEX($AU$1:$AU$100,INT((ROW(A47)-1)/3)+1)</f>
        <v>Availability of Head-to-Head Trials</v>
      </c>
      <c r="AW47" s="1" t="str" cm="1">
        <f t="array" ref="AW47">INDEX({"OR","RRR","ME"},MOD(ROW(AH47)-1,3)+1)</f>
        <v>RRR</v>
      </c>
    </row>
    <row r="48" spans="1:49" ht="45">
      <c r="A48" s="93" t="s">
        <v>1155</v>
      </c>
      <c r="B48" s="125" t="s">
        <v>897</v>
      </c>
      <c r="C48" s="92" t="s">
        <v>1157</v>
      </c>
      <c r="D48" s="93" t="s">
        <v>879</v>
      </c>
      <c r="E48" s="95">
        <v>1.2749999999999999</v>
      </c>
      <c r="F48" s="95"/>
      <c r="G48" s="95"/>
      <c r="H48" s="95"/>
      <c r="I48" s="95"/>
      <c r="J48" s="96">
        <v>0.1</v>
      </c>
      <c r="K48" s="96" t="s">
        <v>1158</v>
      </c>
      <c r="L48" s="92" t="s">
        <v>1040</v>
      </c>
      <c r="R48" s="44" t="str">
        <f t="shared" si="30"/>
        <v>Availability of Head-to-Head Trials</v>
      </c>
      <c r="S48" s="51" t="str">
        <f t="shared" si="31"/>
        <v>RRR</v>
      </c>
      <c r="T48" s="51" t="str">
        <f t="shared" si="13"/>
        <v>0-0</v>
      </c>
      <c r="U48" s="51" t="e" cm="1" vm="1">
        <f t="array" ref="U48">_xlfn.TEXTJOIN(", ", TRUE, _xlfn.UNIQUE(_xlfn._xlws.FILTER(K$2:K$100, (A$2:A$100 = R48) * (D$2:D$100 = S48))))</f>
        <v>#VALUE!</v>
      </c>
      <c r="V48" s="51" t="str" cm="1">
        <f t="array" ref="V48">_xlfn.TEXTJOIN(", ", TRUE, _xlfn.UNIQUE(IF((A$2:A$100 = R48) * (D$2:D$100 = S48), L$2:L$100, "")))</f>
        <v/>
      </c>
      <c r="AA48" s="44" t="str">
        <f t="shared" si="32"/>
        <v>Availability of Head-to-Head Trials</v>
      </c>
      <c r="AB48" s="51" t="str">
        <f t="shared" si="33"/>
        <v>RRR</v>
      </c>
      <c r="AC48" s="194" t="e">
        <f t="shared" si="5"/>
        <v>#VALUE!</v>
      </c>
      <c r="AD48" s="51" t="str">
        <f t="shared" si="6"/>
        <v>NA</v>
      </c>
      <c r="AE48" s="51" t="str">
        <f t="shared" si="7"/>
        <v>NA</v>
      </c>
      <c r="AF48" s="51" t="str" cm="1">
        <f t="array" ref="AF48">IFERROR(_xlfn.TEXTJOIN(", ", TRUE, _xlfn.UNIQUE(_xlfn._xlws.FILTER(K$2:K$100, (A$2:A$100 = AA48) * (D$2:D$100 = AB48) * ((J$2:J$100 &lt;= 0.05))))), "")</f>
        <v/>
      </c>
      <c r="AG48" s="51" t="str" cm="1">
        <f t="array" ref="AG48">_xlfn.TEXTJOIN(", ", TRUE, _xlfn.UNIQUE(IF((A$2:A$100 = R48) * (D$2:D$100 = S48) * ((J$2:J$100 &lt;= 0.05)), L$2:L$100, "")))</f>
        <v/>
      </c>
      <c r="AH48" s="51" t="str">
        <f t="shared" si="34"/>
        <v>OR / RRR</v>
      </c>
      <c r="AU48" s="1"/>
      <c r="AV48" s="1" t="str" cm="1">
        <f t="array" ref="AV48">INDEX($AU$1:$AU$100,INT((ROW(A48)-1)/3)+1)</f>
        <v>Availability of Head-to-Head Trials</v>
      </c>
      <c r="AW48" s="1" t="str" cm="1">
        <f t="array" ref="AW48">INDEX({"OR","RRR","ME"},MOD(ROW(AH48)-1,3)+1)</f>
        <v>ME</v>
      </c>
    </row>
    <row r="49" spans="1:49" ht="45">
      <c r="A49" s="93" t="s">
        <v>1155</v>
      </c>
      <c r="B49" s="125" t="s">
        <v>897</v>
      </c>
      <c r="C49" s="92" t="s">
        <v>1159</v>
      </c>
      <c r="D49" s="93" t="s">
        <v>879</v>
      </c>
      <c r="E49" s="95">
        <v>0.98099999999999998</v>
      </c>
      <c r="F49" s="95">
        <v>0.96199999999999997</v>
      </c>
      <c r="G49" s="95">
        <v>1</v>
      </c>
      <c r="H49" s="95"/>
      <c r="I49" s="95"/>
      <c r="J49" s="96">
        <v>4.5999999999999999E-2</v>
      </c>
      <c r="K49" s="96" t="s">
        <v>335</v>
      </c>
      <c r="L49" s="92" t="s">
        <v>1022</v>
      </c>
      <c r="R49" s="44" t="str">
        <f t="shared" si="30"/>
        <v>Availability of Head-to-Head Trials</v>
      </c>
      <c r="S49" s="51" t="str">
        <f t="shared" si="31"/>
        <v>ME</v>
      </c>
      <c r="T49" s="51" t="str">
        <f t="shared" si="13"/>
        <v>0-0</v>
      </c>
      <c r="U49" s="51" t="e" cm="1" vm="1">
        <f t="array" ref="U49">_xlfn.TEXTJOIN(", ", TRUE, _xlfn.UNIQUE(_xlfn._xlws.FILTER(K$2:K$100, (A$2:A$100 = R49) * (D$2:D$100 = S49))))</f>
        <v>#VALUE!</v>
      </c>
      <c r="V49" s="51" t="str" cm="1">
        <f t="array" ref="V49">_xlfn.TEXTJOIN(", ", TRUE, _xlfn.UNIQUE(IF((A$2:A$100 = R49) * (D$2:D$100 = S49), L$2:L$100, "")))</f>
        <v/>
      </c>
      <c r="AA49" s="44" t="str">
        <f t="shared" si="32"/>
        <v>Availability of Head-to-Head Trials</v>
      </c>
      <c r="AB49" s="51" t="str">
        <f t="shared" si="33"/>
        <v>ME</v>
      </c>
      <c r="AC49" s="194" t="e">
        <f t="shared" si="5"/>
        <v>#VALUE!</v>
      </c>
      <c r="AD49" s="51" t="str">
        <f t="shared" si="6"/>
        <v>NA</v>
      </c>
      <c r="AE49" s="51" t="str">
        <f t="shared" si="7"/>
        <v>NA</v>
      </c>
      <c r="AF49" s="51" t="str" cm="1">
        <f t="array" ref="AF49">IFERROR(_xlfn.TEXTJOIN(", ", TRUE, _xlfn.UNIQUE(_xlfn._xlws.FILTER(K$2:K$100, (A$2:A$100 = AA49) * (D$2:D$100 = AB49) * ((J$2:J$100 &lt;= 0.05))))), "")</f>
        <v/>
      </c>
      <c r="AG49" s="51" t="str" cm="1">
        <f t="array" ref="AG49">_xlfn.TEXTJOIN(", ", TRUE, _xlfn.UNIQUE(IF((A$2:A$100 = R49) * (D$2:D$100 = S49) * ((J$2:J$100 &lt;= 0.05)), L$2:L$100, "")))</f>
        <v/>
      </c>
      <c r="AH49" s="51" t="str">
        <f t="shared" si="34"/>
        <v>ME</v>
      </c>
      <c r="AU49" s="1"/>
      <c r="AV49" s="1" t="str" cm="1">
        <f t="array" ref="AV49">INDEX($AU$1:$AU$100,INT((ROW(A49)-1)/3)+1)</f>
        <v>Number of head to head trials</v>
      </c>
      <c r="AW49" s="1" t="str" cm="1">
        <f t="array" ref="AW49">INDEX({"OR","RRR","ME"},MOD(ROW(AH49)-1,3)+1)</f>
        <v>OR</v>
      </c>
    </row>
    <row r="50" spans="1:49" ht="45">
      <c r="A50" s="96" t="s">
        <v>1160</v>
      </c>
      <c r="B50" s="96" t="s">
        <v>878</v>
      </c>
      <c r="C50" s="96" t="s">
        <v>1160</v>
      </c>
      <c r="D50" s="93" t="s">
        <v>879</v>
      </c>
      <c r="E50" s="95">
        <v>2.1869999999999998</v>
      </c>
      <c r="F50" s="95">
        <v>0.96299999999999997</v>
      </c>
      <c r="G50" s="95">
        <v>4.9660000000000002</v>
      </c>
      <c r="H50" s="95"/>
      <c r="I50" s="95"/>
      <c r="J50" s="96" t="s">
        <v>886</v>
      </c>
      <c r="K50" s="96" t="s">
        <v>840</v>
      </c>
      <c r="L50" s="92" t="s">
        <v>974</v>
      </c>
      <c r="R50" s="44" t="str">
        <f t="shared" si="30"/>
        <v>Number of head to head trials</v>
      </c>
      <c r="S50" s="51" t="str">
        <f t="shared" si="31"/>
        <v>OR</v>
      </c>
      <c r="T50" s="51" t="str">
        <f t="shared" si="13"/>
        <v>1,32-1,32</v>
      </c>
      <c r="U50" s="51" t="str" cm="1">
        <f t="array" ref="U50">_xlfn.TEXTJOIN(", ", TRUE, _xlfn.UNIQUE(_xlfn._xlws.FILTER(K$2:K$100, (A$2:A$100 = R50) * (D$2:D$100 = S50))))</f>
        <v>South Korea</v>
      </c>
      <c r="V50" s="51" t="str" cm="1">
        <f t="array" ref="V50">_xlfn.TEXTJOIN(", ", TRUE, _xlfn.UNIQUE(IF((A$2:A$100 = R50) * (D$2:D$100 = S50), L$2:L$100, "")))</f>
        <v>(Park et al., 2012)</v>
      </c>
      <c r="AA50" s="44" t="str">
        <f t="shared" si="32"/>
        <v>Number of head to head trials</v>
      </c>
      <c r="AB50" s="51" t="str">
        <f t="shared" si="33"/>
        <v>OR</v>
      </c>
      <c r="AC50" s="194" t="e">
        <f t="shared" si="5"/>
        <v>#VALUE!</v>
      </c>
      <c r="AD50" s="51" t="str">
        <f t="shared" si="6"/>
        <v>NA</v>
      </c>
      <c r="AE50" s="51" t="str">
        <f t="shared" si="7"/>
        <v>NA</v>
      </c>
      <c r="AF50" s="51" t="str" cm="1">
        <f t="array" ref="AF50">IFERROR(_xlfn.TEXTJOIN(", ", TRUE, _xlfn.UNIQUE(_xlfn._xlws.FILTER(K$2:K$100, (A$2:A$100 = AA50) * (D$2:D$100 = AB50) * ((J$2:J$100 &lt;= 0.05))))), "")</f>
        <v/>
      </c>
      <c r="AG50" s="51" t="str" cm="1">
        <f t="array" ref="AG50">_xlfn.TEXTJOIN(", ", TRUE, _xlfn.UNIQUE(IF((A$2:A$100 = R50) * (D$2:D$100 = S50) * ((J$2:J$100 &lt;= 0.05)), L$2:L$100, "")))</f>
        <v/>
      </c>
      <c r="AH50" s="51" t="str">
        <f t="shared" si="34"/>
        <v>OR / RRR</v>
      </c>
      <c r="AU50" s="1"/>
      <c r="AV50" s="1" t="str" cm="1">
        <f t="array" ref="AV50">INDEX($AU$1:$AU$100,INT((ROW(A50)-1)/3)+1)</f>
        <v>Number of head to head trials</v>
      </c>
      <c r="AW50" s="1" t="str" cm="1">
        <f t="array" ref="AW50">INDEX({"OR","RRR","ME"},MOD(ROW(AH50)-1,3)+1)</f>
        <v>RRR</v>
      </c>
    </row>
    <row r="51" spans="1:49" ht="75">
      <c r="A51" s="96" t="s">
        <v>1161</v>
      </c>
      <c r="B51" s="96" t="s">
        <v>878</v>
      </c>
      <c r="C51" s="96" t="s">
        <v>1161</v>
      </c>
      <c r="D51" s="93" t="s">
        <v>879</v>
      </c>
      <c r="E51" s="95">
        <v>1.024</v>
      </c>
      <c r="F51" s="95">
        <v>0.92800000000000005</v>
      </c>
      <c r="G51" s="95">
        <v>1.1299999999999999</v>
      </c>
      <c r="H51" s="95"/>
      <c r="I51" s="95"/>
      <c r="J51" s="96" t="s">
        <v>886</v>
      </c>
      <c r="K51" s="96" t="s">
        <v>840</v>
      </c>
      <c r="L51" s="92" t="s">
        <v>889</v>
      </c>
      <c r="R51" s="44" t="str">
        <f t="shared" si="30"/>
        <v>Number of head to head trials</v>
      </c>
      <c r="S51" s="51" t="str">
        <f t="shared" si="31"/>
        <v>RRR</v>
      </c>
      <c r="T51" s="51" t="str">
        <f t="shared" si="13"/>
        <v>0-0</v>
      </c>
      <c r="U51" s="51" t="e" cm="1" vm="1">
        <f t="array" ref="U51">_xlfn.TEXTJOIN(", ", TRUE, _xlfn.UNIQUE(_xlfn._xlws.FILTER(K$2:K$100, (A$2:A$100 = R51) * (D$2:D$100 = S51))))</f>
        <v>#VALUE!</v>
      </c>
      <c r="V51" s="51" t="str" cm="1">
        <f t="array" ref="V51">_xlfn.TEXTJOIN(", ", TRUE, _xlfn.UNIQUE(IF((A$2:A$100 = R51) * (D$2:D$100 = S51), L$2:L$100, "")))</f>
        <v/>
      </c>
      <c r="AA51" s="44" t="str">
        <f t="shared" si="32"/>
        <v>Number of head to head trials</v>
      </c>
      <c r="AB51" s="51" t="str">
        <f t="shared" si="33"/>
        <v>RRR</v>
      </c>
      <c r="AC51" s="194" t="e">
        <f t="shared" si="5"/>
        <v>#VALUE!</v>
      </c>
      <c r="AD51" s="51" t="str">
        <f t="shared" si="6"/>
        <v>NA</v>
      </c>
      <c r="AE51" s="51" t="str">
        <f t="shared" si="7"/>
        <v>NA</v>
      </c>
      <c r="AF51" s="51" t="str" cm="1">
        <f t="array" ref="AF51">IFERROR(_xlfn.TEXTJOIN(", ", TRUE, _xlfn.UNIQUE(_xlfn._xlws.FILTER(K$2:K$100, (A$2:A$100 = AA51) * (D$2:D$100 = AB51) * ((J$2:J$100 &lt;= 0.05))))), "")</f>
        <v/>
      </c>
      <c r="AG51" s="51" t="str" cm="1">
        <f t="array" ref="AG51">_xlfn.TEXTJOIN(", ", TRUE, _xlfn.UNIQUE(IF((A$2:A$100 = R51) * (D$2:D$100 = S51) * ((J$2:J$100 &lt;= 0.05)), L$2:L$100, "")))</f>
        <v/>
      </c>
      <c r="AH51" s="51" t="str">
        <f t="shared" si="34"/>
        <v>OR / RRR</v>
      </c>
      <c r="AU51" s="1"/>
      <c r="AV51" s="1" t="str" cm="1">
        <f t="array" ref="AV51">INDEX($AU$1:$AU$100,INT((ROW(A51)-1)/3)+1)</f>
        <v>Number of head to head trials</v>
      </c>
      <c r="AW51" s="1" t="str" cm="1">
        <f t="array" ref="AW51">INDEX({"OR","RRR","ME"},MOD(ROW(AH51)-1,3)+1)</f>
        <v>ME</v>
      </c>
    </row>
    <row r="52" spans="1:49" ht="45">
      <c r="A52" s="96" t="s">
        <v>1162</v>
      </c>
      <c r="B52" s="96" t="s">
        <v>914</v>
      </c>
      <c r="C52" s="96" t="s">
        <v>1161</v>
      </c>
      <c r="D52" s="93" t="s">
        <v>891</v>
      </c>
      <c r="E52" s="95">
        <f>1/0.553</f>
        <v>1.8083182640144664</v>
      </c>
      <c r="F52" s="95">
        <f>1/0.9067</f>
        <v>1.1029006286533585</v>
      </c>
      <c r="G52" s="95">
        <f>1/0.3373</f>
        <v>2.9647198339756895</v>
      </c>
      <c r="H52" s="95"/>
      <c r="I52" s="95"/>
      <c r="J52" s="96">
        <v>1.9E-2</v>
      </c>
      <c r="K52" s="96" t="s">
        <v>840</v>
      </c>
      <c r="L52" s="92" t="s">
        <v>916</v>
      </c>
      <c r="R52" s="44" t="str">
        <f t="shared" si="30"/>
        <v>Number of head to head trials</v>
      </c>
      <c r="S52" s="51" t="str">
        <f t="shared" si="31"/>
        <v>ME</v>
      </c>
      <c r="T52" s="51" t="str">
        <f t="shared" si="13"/>
        <v>0-0</v>
      </c>
      <c r="U52" s="51" t="e" cm="1" vm="1">
        <f t="array" ref="U52">_xlfn.TEXTJOIN(", ", TRUE, _xlfn.UNIQUE(_xlfn._xlws.FILTER(K$2:K$100, (A$2:A$100 = R52) * (D$2:D$100 = S52))))</f>
        <v>#VALUE!</v>
      </c>
      <c r="V52" s="51" t="str" cm="1">
        <f t="array" ref="V52">_xlfn.TEXTJOIN(", ", TRUE, _xlfn.UNIQUE(IF((A$2:A$100 = R52) * (D$2:D$100 = S52), L$2:L$100, "")))</f>
        <v/>
      </c>
      <c r="AA52" s="44" t="str">
        <f t="shared" si="32"/>
        <v>Number of head to head trials</v>
      </c>
      <c r="AB52" s="51" t="str">
        <f t="shared" si="33"/>
        <v>ME</v>
      </c>
      <c r="AC52" s="194" t="e">
        <f t="shared" si="5"/>
        <v>#VALUE!</v>
      </c>
      <c r="AD52" s="51" t="str">
        <f t="shared" si="6"/>
        <v>NA</v>
      </c>
      <c r="AE52" s="51" t="str">
        <f t="shared" si="7"/>
        <v>NA</v>
      </c>
      <c r="AF52" s="51" t="str" cm="1">
        <f t="array" ref="AF52">IFERROR(_xlfn.TEXTJOIN(", ", TRUE, _xlfn.UNIQUE(_xlfn._xlws.FILTER(K$2:K$100, (A$2:A$100 = AA52) * (D$2:D$100 = AB52) * ((J$2:J$100 &lt;= 0.05))))), "")</f>
        <v/>
      </c>
      <c r="AG52" s="51" t="str" cm="1">
        <f t="array" ref="AG52">_xlfn.TEXTJOIN(", ", TRUE, _xlfn.UNIQUE(IF((A$2:A$100 = R52) * (D$2:D$100 = S52) * ((J$2:J$100 &lt;= 0.05)), L$2:L$100, "")))</f>
        <v/>
      </c>
      <c r="AH52" s="51" t="str">
        <f t="shared" si="34"/>
        <v>ME</v>
      </c>
      <c r="AU52" s="1"/>
      <c r="AV52" s="1" t="str" cm="1">
        <f t="array" ref="AV52">INDEX($AU$1:$AU$100,INT((ROW(A52)-1)/3)+1)</f>
        <v>Number of Technologies Appraised Simultaneously</v>
      </c>
      <c r="AW52" s="1" t="str" cm="1">
        <f t="array" ref="AW52">INDEX({"OR","RRR","ME"},MOD(ROW(AH52)-1,3)+1)</f>
        <v>OR</v>
      </c>
    </row>
    <row r="53" spans="1:49" ht="75">
      <c r="A53" s="96" t="s">
        <v>1162</v>
      </c>
      <c r="B53" s="96" t="s">
        <v>878</v>
      </c>
      <c r="C53" s="96" t="s">
        <v>1162</v>
      </c>
      <c r="D53" s="93" t="s">
        <v>879</v>
      </c>
      <c r="E53" s="95">
        <v>1.121</v>
      </c>
      <c r="F53" s="95">
        <v>0.99099999999999999</v>
      </c>
      <c r="G53" s="95">
        <v>1.268</v>
      </c>
      <c r="H53" s="95"/>
      <c r="I53" s="95"/>
      <c r="J53" s="96">
        <v>0.1</v>
      </c>
      <c r="K53" s="96" t="s">
        <v>840</v>
      </c>
      <c r="L53" s="92" t="s">
        <v>889</v>
      </c>
      <c r="R53" s="44" t="str">
        <f t="shared" si="30"/>
        <v>Number of Technologies Appraised Simultaneously</v>
      </c>
      <c r="S53" s="51" t="str">
        <f t="shared" si="31"/>
        <v>OR</v>
      </c>
      <c r="T53" s="51" t="str">
        <f t="shared" si="13"/>
        <v>0-0</v>
      </c>
      <c r="U53" s="51" t="e" cm="1" vm="1">
        <f t="array" ref="U53">_xlfn.TEXTJOIN(", ", TRUE, _xlfn.UNIQUE(_xlfn._xlws.FILTER(K$2:K$100, (A$2:A$100 = R53) * (D$2:D$100 = S53))))</f>
        <v>#VALUE!</v>
      </c>
      <c r="V53" s="51" t="str" cm="1">
        <f t="array" ref="V53">_xlfn.TEXTJOIN(", ", TRUE, _xlfn.UNIQUE(IF((A$2:A$100 = R53) * (D$2:D$100 = S53), L$2:L$100, "")))</f>
        <v/>
      </c>
      <c r="AA53" s="44" t="str">
        <f t="shared" si="32"/>
        <v>Number of Technologies Appraised Simultaneously</v>
      </c>
      <c r="AB53" s="51" t="str">
        <f t="shared" si="33"/>
        <v>OR</v>
      </c>
      <c r="AC53" s="194" t="e">
        <f t="shared" si="5"/>
        <v>#VALUE!</v>
      </c>
      <c r="AD53" s="51" t="str">
        <f t="shared" si="6"/>
        <v>NA</v>
      </c>
      <c r="AE53" s="51" t="str">
        <f t="shared" si="7"/>
        <v>NA</v>
      </c>
      <c r="AF53" s="51" t="str" cm="1">
        <f t="array" ref="AF53">IFERROR(_xlfn.TEXTJOIN(", ", TRUE, _xlfn.UNIQUE(_xlfn._xlws.FILTER(K$2:K$100, (A$2:A$100 = AA53) * (D$2:D$100 = AB53) * ((J$2:J$100 &lt;= 0.05))))), "")</f>
        <v/>
      </c>
      <c r="AG53" s="51" t="str" cm="1">
        <f t="array" ref="AG53">_xlfn.TEXTJOIN(", ", TRUE, _xlfn.UNIQUE(IF((A$2:A$100 = R53) * (D$2:D$100 = S53) * ((J$2:J$100 &lt;= 0.05)), L$2:L$100, "")))</f>
        <v/>
      </c>
      <c r="AH53" s="51" t="str">
        <f t="shared" si="34"/>
        <v>OR / RRR</v>
      </c>
      <c r="AU53" s="1"/>
      <c r="AV53" s="1" t="str" cm="1">
        <f t="array" ref="AV53">INDEX($AU$1:$AU$100,INT((ROW(A53)-1)/3)+1)</f>
        <v>Number of Technologies Appraised Simultaneously</v>
      </c>
      <c r="AW53" s="1" t="str" cm="1">
        <f t="array" ref="AW53">INDEX({"OR","RRR","ME"},MOD(ROW(AH53)-1,3)+1)</f>
        <v>RRR</v>
      </c>
    </row>
    <row r="54" spans="1:49" ht="75">
      <c r="A54" s="96" t="s">
        <v>1162</v>
      </c>
      <c r="B54" s="96" t="s">
        <v>914</v>
      </c>
      <c r="C54" s="96" t="s">
        <v>1162</v>
      </c>
      <c r="D54" s="93" t="s">
        <v>891</v>
      </c>
      <c r="E54" s="95">
        <f>1/1.0181</f>
        <v>0.98222178567920637</v>
      </c>
      <c r="F54" s="95">
        <f>1/1.0936</f>
        <v>0.91441111923921004</v>
      </c>
      <c r="G54" s="95">
        <f>1/0.9478</f>
        <v>1.0550749103186325</v>
      </c>
      <c r="H54" s="95"/>
      <c r="I54" s="95"/>
      <c r="J54" s="96">
        <v>0.624</v>
      </c>
      <c r="K54" s="96" t="s">
        <v>840</v>
      </c>
      <c r="L54" s="92" t="s">
        <v>916</v>
      </c>
      <c r="R54" s="44" t="str">
        <f t="shared" si="30"/>
        <v>Number of Technologies Appraised Simultaneously</v>
      </c>
      <c r="S54" s="51" t="str">
        <f t="shared" si="31"/>
        <v>RRR</v>
      </c>
      <c r="T54" s="51" t="str">
        <f t="shared" si="13"/>
        <v>0,89-0,89</v>
      </c>
      <c r="U54" s="51" t="str" cm="1">
        <f t="array" ref="U54">_xlfn.TEXTJOIN(", ", TRUE, _xlfn.UNIQUE(_xlfn._xlws.FILTER(K$2:K$100, (A$2:A$100 = R54) * (D$2:D$100 = S54))))</f>
        <v>UK</v>
      </c>
      <c r="V54" s="51" t="str" cm="1">
        <f t="array" ref="V54">_xlfn.TEXTJOIN(", ", TRUE, _xlfn.UNIQUE(IF((A$2:A$100 = R54) * (D$2:D$100 = S54), L$2:L$100, "")))</f>
        <v>(Cerri, Knapp, &amp; Fernandez, 2014b)</v>
      </c>
      <c r="AA54" s="44" t="str">
        <f t="shared" si="32"/>
        <v>Number of Technologies Appraised Simultaneously</v>
      </c>
      <c r="AB54" s="51" t="str">
        <f t="shared" si="33"/>
        <v>RRR</v>
      </c>
      <c r="AC54" s="194" t="e">
        <f t="shared" si="5"/>
        <v>#VALUE!</v>
      </c>
      <c r="AD54" s="51" t="str">
        <f t="shared" si="6"/>
        <v>NA</v>
      </c>
      <c r="AE54" s="51" t="str">
        <f t="shared" si="7"/>
        <v>NA</v>
      </c>
      <c r="AF54" s="51" t="str" cm="1">
        <f t="array" ref="AF54">IFERROR(_xlfn.TEXTJOIN(", ", TRUE, _xlfn.UNIQUE(_xlfn._xlws.FILTER(K$2:K$100, (A$2:A$100 = AA54) * (D$2:D$100 = AB54) * ((J$2:J$100 &lt;= 0.05))))), "")</f>
        <v/>
      </c>
      <c r="AG54" s="51" t="str" cm="1">
        <f t="array" ref="AG54">_xlfn.TEXTJOIN(", ", TRUE, _xlfn.UNIQUE(IF((A$2:A$100 = R54) * (D$2:D$100 = S54) * ((J$2:J$100 &lt;= 0.05)), L$2:L$100, "")))</f>
        <v/>
      </c>
      <c r="AH54" s="51" t="str">
        <f t="shared" si="34"/>
        <v>OR / RRR</v>
      </c>
      <c r="AU54" s="1"/>
      <c r="AV54" s="1" t="str" cm="1">
        <f t="array" ref="AV54">INDEX($AU$1:$AU$100,INT((ROW(A54)-1)/3)+1)</f>
        <v>Number of Technologies Appraised Simultaneously</v>
      </c>
      <c r="AW54" s="1" t="str" cm="1">
        <f t="array" ref="AW54">INDEX({"OR","RRR","ME"},MOD(ROW(AH54)-1,3)+1)</f>
        <v>ME</v>
      </c>
    </row>
    <row r="55" spans="1:49" ht="75">
      <c r="A55" s="96" t="s">
        <v>1163</v>
      </c>
      <c r="B55" s="96" t="s">
        <v>878</v>
      </c>
      <c r="C55" s="96" t="s">
        <v>1163</v>
      </c>
      <c r="D55" s="93" t="s">
        <v>879</v>
      </c>
      <c r="E55" s="95">
        <v>1.5091000000000001</v>
      </c>
      <c r="F55" s="95">
        <v>0.81489999999999996</v>
      </c>
      <c r="G55" s="95">
        <v>2.7947000000000002</v>
      </c>
      <c r="H55" s="95"/>
      <c r="I55" s="95"/>
      <c r="J55" s="96">
        <v>0.19059999999999999</v>
      </c>
      <c r="K55" s="96" t="s">
        <v>1164</v>
      </c>
      <c r="L55" s="92" t="s">
        <v>881</v>
      </c>
      <c r="R55" s="44" t="str">
        <f t="shared" si="30"/>
        <v>Number of Technologies Appraised Simultaneously</v>
      </c>
      <c r="S55" s="51" t="str">
        <f t="shared" si="31"/>
        <v>ME</v>
      </c>
      <c r="T55" s="51" t="str">
        <f t="shared" si="13"/>
        <v>0-0</v>
      </c>
      <c r="U55" s="51" t="e" cm="1" vm="1">
        <f t="array" ref="U55">_xlfn.TEXTJOIN(", ", TRUE, _xlfn.UNIQUE(_xlfn._xlws.FILTER(K$2:K$100, (A$2:A$100 = R55) * (D$2:D$100 = S55))))</f>
        <v>#VALUE!</v>
      </c>
      <c r="V55" s="51" t="str" cm="1">
        <f t="array" ref="V55">_xlfn.TEXTJOIN(", ", TRUE, _xlfn.UNIQUE(IF((A$2:A$100 = R55) * (D$2:D$100 = S55), L$2:L$100, "")))</f>
        <v/>
      </c>
      <c r="AA55" s="44" t="str">
        <f t="shared" si="32"/>
        <v>Number of Technologies Appraised Simultaneously</v>
      </c>
      <c r="AB55" s="51" t="str">
        <f t="shared" si="33"/>
        <v>ME</v>
      </c>
      <c r="AC55" s="194" t="e">
        <f t="shared" si="5"/>
        <v>#VALUE!</v>
      </c>
      <c r="AD55" s="51" t="str">
        <f t="shared" si="6"/>
        <v>NA</v>
      </c>
      <c r="AE55" s="51" t="str">
        <f t="shared" si="7"/>
        <v>NA</v>
      </c>
      <c r="AF55" s="51" t="str" cm="1">
        <f t="array" ref="AF55">IFERROR(_xlfn.TEXTJOIN(", ", TRUE, _xlfn.UNIQUE(_xlfn._xlws.FILTER(K$2:K$100, (A$2:A$100 = AA55) * (D$2:D$100 = AB55) * ((J$2:J$100 &lt;= 0.05))))), "")</f>
        <v/>
      </c>
      <c r="AG55" s="51" t="str" cm="1">
        <f t="array" ref="AG55">_xlfn.TEXTJOIN(", ", TRUE, _xlfn.UNIQUE(IF((A$2:A$100 = R55) * (D$2:D$100 = S55) * ((J$2:J$100 &lt;= 0.05)), L$2:L$100, "")))</f>
        <v/>
      </c>
      <c r="AH55" s="51" t="str">
        <f t="shared" si="34"/>
        <v>ME</v>
      </c>
      <c r="AU55" s="1"/>
      <c r="AV55" s="1" t="str" cm="1">
        <f t="array" ref="AV55">INDEX($AU$1:$AU$100,INT((ROW(A55)-1)/3)+1)</f>
        <v>Comparator Presence</v>
      </c>
      <c r="AW55" s="1" t="str" cm="1">
        <f t="array" ref="AW55">INDEX({"OR","RRR","ME"},MOD(ROW(AH55)-1,3)+1)</f>
        <v>OR</v>
      </c>
    </row>
    <row r="56" spans="1:49" ht="105">
      <c r="A56" s="106"/>
      <c r="B56" s="106" t="s">
        <v>885</v>
      </c>
      <c r="C56" s="96" t="s">
        <v>1165</v>
      </c>
      <c r="D56" s="106" t="s">
        <v>879</v>
      </c>
      <c r="E56" s="126">
        <f>1/1.242</f>
        <v>0.80515297906602257</v>
      </c>
      <c r="F56" s="126">
        <f>1/6.407</f>
        <v>0.15607928827844544</v>
      </c>
      <c r="G56" s="126">
        <f>1/0.241</f>
        <v>4.1493775933609962</v>
      </c>
      <c r="H56" s="126"/>
      <c r="I56" s="126"/>
      <c r="J56" s="96" t="s">
        <v>886</v>
      </c>
      <c r="K56" s="96" t="s">
        <v>365</v>
      </c>
      <c r="L56" s="92" t="s">
        <v>1136</v>
      </c>
      <c r="R56" s="44" t="str">
        <f t="shared" si="30"/>
        <v>Comparator Presence</v>
      </c>
      <c r="S56" s="51" t="str">
        <f t="shared" si="31"/>
        <v>OR</v>
      </c>
      <c r="T56" s="51" t="str">
        <f t="shared" si="13"/>
        <v>0,47-10,8</v>
      </c>
      <c r="U56" s="51" t="str" cm="1">
        <f t="array" ref="U56">_xlfn.TEXTJOIN(", ", TRUE, _xlfn.UNIQUE(_xlfn._xlws.FILTER(K$2:K$100, (A$2:A$100 = R56) * (D$2:D$100 = S56))))</f>
        <v>Australia, CANADA-(INESSS), CANADA-(CADTH) Scotland, UK, France, UK, The Netherlands, New Zealand, Norway, Sweden, UK, USA</v>
      </c>
      <c r="V56" s="51" t="str" cm="1">
        <f t="array" ref="V56">_xlfn.TEXTJOIN(", ", TRUE, _xlfn.UNIQUE(IF((A$2:A$100 = R56) * (D$2:D$100 = S56), L$2:L$100, "")))</f>
        <v>(A. Harris et al., 2016), (Mills, 2023), (Mauskopf et al., 2013), (Haque et al., 2023), (Draborg &amp; Andersen, 2006), (Karikios et al., 2017)</v>
      </c>
      <c r="AA56" s="44" t="str">
        <f t="shared" si="32"/>
        <v>Comparator Presence</v>
      </c>
      <c r="AB56" s="51" t="str">
        <f t="shared" si="33"/>
        <v>OR</v>
      </c>
      <c r="AC56" s="194">
        <f t="shared" si="5"/>
        <v>10.8</v>
      </c>
      <c r="AD56" s="51">
        <f t="shared" si="6"/>
        <v>10.8</v>
      </c>
      <c r="AE56" s="51">
        <f t="shared" si="7"/>
        <v>10.8</v>
      </c>
      <c r="AF56" s="51" t="str" cm="1">
        <f t="array" ref="AF56">IFERROR(_xlfn.TEXTJOIN(", ", TRUE, _xlfn.UNIQUE(_xlfn._xlws.FILTER(K$2:K$100, (A$2:A$100 = AA56) * (D$2:D$100 = AB56) * ((J$2:J$100 &lt;= 0.05))))), "")</f>
        <v>Australia</v>
      </c>
      <c r="AG56" s="51" t="str" cm="1">
        <f t="array" ref="AG56">_xlfn.TEXTJOIN(", ", TRUE, _xlfn.UNIQUE(IF((A$2:A$100 = R56) * (D$2:D$100 = S56) * ((J$2:J$100 &lt;= 0.05)), L$2:L$100, "")))</f>
        <v>(Karikios et al., 2017)</v>
      </c>
      <c r="AH56" s="51" t="str">
        <f t="shared" si="34"/>
        <v>OR / RRR</v>
      </c>
      <c r="AU56" s="1"/>
      <c r="AV56" s="1" t="str" cm="1">
        <f t="array" ref="AV56">INDEX($AU$1:$AU$100,INT((ROW(A56)-1)/3)+1)</f>
        <v>Comparator Presence</v>
      </c>
      <c r="AW56" s="1" t="str" cm="1">
        <f t="array" ref="AW56">INDEX({"OR","RRR","ME"},MOD(ROW(AH56)-1,3)+1)</f>
        <v>RRR</v>
      </c>
    </row>
    <row r="57" spans="1:49" ht="30">
      <c r="A57" s="96" t="s">
        <v>1166</v>
      </c>
      <c r="B57" s="96" t="s">
        <v>903</v>
      </c>
      <c r="C57" s="96" t="s">
        <v>1166</v>
      </c>
      <c r="D57" s="93" t="s">
        <v>879</v>
      </c>
      <c r="E57" s="95">
        <v>0.30599999999999999</v>
      </c>
      <c r="F57" s="95">
        <v>5.0999999999999997E-2</v>
      </c>
      <c r="G57" s="95">
        <v>1.827</v>
      </c>
      <c r="H57" s="95"/>
      <c r="I57" s="95"/>
      <c r="J57" s="96" t="s">
        <v>886</v>
      </c>
      <c r="K57" s="96" t="s">
        <v>182</v>
      </c>
      <c r="L57" s="92" t="s">
        <v>905</v>
      </c>
      <c r="R57" s="44" t="str">
        <f t="shared" si="30"/>
        <v>Comparator Presence</v>
      </c>
      <c r="S57" s="51" t="str">
        <f t="shared" si="31"/>
        <v>RRR</v>
      </c>
      <c r="T57" s="51" t="str">
        <f t="shared" si="13"/>
        <v>12,68-12,68</v>
      </c>
      <c r="U57" s="51" t="str" cm="1">
        <f t="array" ref="U57">_xlfn.TEXTJOIN(", ", TRUE, _xlfn.UNIQUE(_xlfn._xlws.FILTER(K$2:K$100, (A$2:A$100 = R57) * (D$2:D$100 = S57))))</f>
        <v>Netherlands</v>
      </c>
      <c r="V57" s="51" t="str" cm="1">
        <f t="array" ref="V57">_xlfn.TEXTJOIN(", ", TRUE, _xlfn.UNIQUE(IF((A$2:A$100 = R57) * (D$2:D$100 = S57), L$2:L$100, "")))</f>
        <v>(Cerri, Knapp, &amp; Fernandez, 2014a)</v>
      </c>
      <c r="AA57" s="44" t="str">
        <f t="shared" si="32"/>
        <v>Comparator Presence</v>
      </c>
      <c r="AB57" s="51" t="str">
        <f t="shared" si="33"/>
        <v>RRR</v>
      </c>
      <c r="AC57" s="194">
        <f t="shared" si="5"/>
        <v>12.68</v>
      </c>
      <c r="AD57" s="51">
        <f t="shared" si="6"/>
        <v>12.679670970833877</v>
      </c>
      <c r="AE57" s="51">
        <f t="shared" si="7"/>
        <v>12.679670970833877</v>
      </c>
      <c r="AF57" s="51" t="str" cm="1">
        <f t="array" ref="AF57">IFERROR(_xlfn.TEXTJOIN(", ", TRUE, _xlfn.UNIQUE(_xlfn._xlws.FILTER(K$2:K$100, (A$2:A$100 = AA57) * (D$2:D$100 = AB57) * ((J$2:J$100 &lt;= 0.05))))), "")</f>
        <v>Netherlands</v>
      </c>
      <c r="AG57" s="51" t="str" cm="1">
        <f t="array" ref="AG57">_xlfn.TEXTJOIN(", ", TRUE, _xlfn.UNIQUE(IF((A$2:A$100 = R57) * (D$2:D$100 = S57) * ((J$2:J$100 &lt;= 0.05)), L$2:L$100, "")))</f>
        <v>(Cerri, Knapp, &amp; Fernandez, 2014a)</v>
      </c>
      <c r="AH57" s="51" t="str">
        <f t="shared" si="34"/>
        <v>OR / RRR</v>
      </c>
      <c r="AU57" s="1"/>
      <c r="AV57" s="1" t="str" cm="1">
        <f t="array" ref="AV57">INDEX($AU$1:$AU$100,INT((ROW(A57)-1)/3)+1)</f>
        <v>Comparator Presence</v>
      </c>
      <c r="AW57" s="1" t="str" cm="1">
        <f t="array" ref="AW57">INDEX({"OR","RRR","ME"},MOD(ROW(AH57)-1,3)+1)</f>
        <v>ME</v>
      </c>
    </row>
    <row r="58" spans="1:49" ht="45">
      <c r="A58" s="96" t="s">
        <v>1167</v>
      </c>
      <c r="B58" s="96" t="s">
        <v>1113</v>
      </c>
      <c r="C58" s="96" t="s">
        <v>1167</v>
      </c>
      <c r="D58" s="93" t="s">
        <v>879</v>
      </c>
      <c r="E58" s="95">
        <v>1.3169999999999999</v>
      </c>
      <c r="F58" s="95">
        <v>0.59599999999999997</v>
      </c>
      <c r="G58" s="95">
        <v>2.91</v>
      </c>
      <c r="H58" s="95"/>
      <c r="I58" s="95"/>
      <c r="J58" s="96" t="s">
        <v>886</v>
      </c>
      <c r="K58" s="96" t="s">
        <v>182</v>
      </c>
      <c r="L58" s="92" t="s">
        <v>1115</v>
      </c>
      <c r="R58" s="44" t="str">
        <f t="shared" si="30"/>
        <v>Comparator Presence</v>
      </c>
      <c r="S58" s="51" t="str">
        <f t="shared" si="31"/>
        <v>ME</v>
      </c>
      <c r="T58" s="51" t="str">
        <f t="shared" si="13"/>
        <v>0,01-0,04</v>
      </c>
      <c r="U58" s="51" t="str" cm="1">
        <f t="array" ref="U58">_xlfn.TEXTJOIN(", ", TRUE, _xlfn.UNIQUE(_xlfn._xlws.FILTER(K$2:K$100, (A$2:A$100 = R58) * (D$2:D$100 = S58))))</f>
        <v>CANADA-(CADTH), France, Scotland, UK, CANADA-(INESSS)</v>
      </c>
      <c r="V58" s="51" t="str" cm="1">
        <f t="array" ref="V58">_xlfn.TEXTJOIN(", ", TRUE, _xlfn.UNIQUE(IF((A$2:A$100 = R58) * (D$2:D$100 = S58), L$2:L$100, "")))</f>
        <v>(Mills, 2023)</v>
      </c>
      <c r="AA58" s="44" t="str">
        <f t="shared" si="32"/>
        <v>Comparator Presence</v>
      </c>
      <c r="AB58" s="51" t="str">
        <f t="shared" si="33"/>
        <v>ME</v>
      </c>
      <c r="AC58" s="194" t="e">
        <f t="shared" si="5"/>
        <v>#VALUE!</v>
      </c>
      <c r="AD58" s="51" t="str">
        <f t="shared" si="6"/>
        <v>NA</v>
      </c>
      <c r="AE58" s="51" t="str">
        <f t="shared" si="7"/>
        <v>NA</v>
      </c>
      <c r="AF58" s="51" t="str" cm="1">
        <f t="array" ref="AF58">IFERROR(_xlfn.TEXTJOIN(", ", TRUE, _xlfn.UNIQUE(_xlfn._xlws.FILTER(K$2:K$100, (A$2:A$100 = AA58) * (D$2:D$100 = AB58) * ((J$2:J$100 &lt;= 0.05))))), "")</f>
        <v/>
      </c>
      <c r="AG58" s="51" t="str" cm="1">
        <f t="array" ref="AG58">_xlfn.TEXTJOIN(", ", TRUE, _xlfn.UNIQUE(IF((A$2:A$100 = R58) * (D$2:D$100 = S58) * ((J$2:J$100 &lt;= 0.05)), L$2:L$100, "")))</f>
        <v/>
      </c>
      <c r="AH58" s="51" t="str">
        <f t="shared" si="34"/>
        <v>ME</v>
      </c>
      <c r="AU58" s="1"/>
      <c r="AV58" s="1" t="str" cm="1">
        <f t="array" ref="AV58">INDEX($AU$1:$AU$100,INT((ROW(A58)-1)/3)+1)</f>
        <v>Comparator Acceptable</v>
      </c>
      <c r="AW58" s="1" t="str" cm="1">
        <f t="array" ref="AW58">INDEX({"OR","RRR","ME"},MOD(ROW(AH58)-1,3)+1)</f>
        <v>OR</v>
      </c>
    </row>
    <row r="59" spans="1:49" ht="51">
      <c r="A59" s="100" t="s">
        <v>1168</v>
      </c>
      <c r="B59" s="100" t="s">
        <v>949</v>
      </c>
      <c r="C59" s="100" t="s">
        <v>1168</v>
      </c>
      <c r="D59" s="93" t="s">
        <v>891</v>
      </c>
      <c r="E59" s="95">
        <f>1/EXP(0.12)</f>
        <v>0.88692043671715748</v>
      </c>
      <c r="F59" s="95">
        <f>1/EXP(0.63)</f>
        <v>0.53259180100689718</v>
      </c>
      <c r="G59" s="95">
        <f>1/EXP(-0.39)</f>
        <v>1.4769807938826427</v>
      </c>
      <c r="H59" s="95"/>
      <c r="I59" s="95"/>
      <c r="J59" s="100">
        <v>0.65</v>
      </c>
      <c r="K59" s="100" t="s">
        <v>840</v>
      </c>
      <c r="L59" s="105" t="s">
        <v>1037</v>
      </c>
      <c r="R59" s="44" t="str">
        <f t="shared" si="30"/>
        <v>Comparator Acceptable</v>
      </c>
      <c r="S59" s="51" t="str">
        <f t="shared" si="31"/>
        <v>OR</v>
      </c>
      <c r="T59" s="51" t="str">
        <f t="shared" si="13"/>
        <v>2,45-2,45</v>
      </c>
      <c r="U59" s="51" t="str" cm="1">
        <f t="array" ref="U59">_xlfn.TEXTJOIN(", ", TRUE, _xlfn.UNIQUE(_xlfn._xlws.FILTER(K$2:K$100, (A$2:A$100 = R59) * (D$2:D$100 = S59))))</f>
        <v>Australia</v>
      </c>
      <c r="V59" s="51" t="str" cm="1">
        <f t="array" ref="V59">_xlfn.TEXTJOIN(", ", TRUE, _xlfn.UNIQUE(IF((A$2:A$100 = R59) * (D$2:D$100 = S59), L$2:L$100, "")))</f>
        <v>Haque et al., 2023)</v>
      </c>
      <c r="AA59" s="44" t="str">
        <f t="shared" si="32"/>
        <v>Comparator Acceptable</v>
      </c>
      <c r="AB59" s="51" t="str">
        <f t="shared" si="33"/>
        <v>OR</v>
      </c>
      <c r="AC59" s="194" t="e">
        <f t="shared" si="5"/>
        <v>#VALUE!</v>
      </c>
      <c r="AD59" s="51" t="str">
        <f t="shared" si="6"/>
        <v>NA</v>
      </c>
      <c r="AE59" s="51" t="str">
        <f t="shared" si="7"/>
        <v>NA</v>
      </c>
      <c r="AF59" s="51" t="str" cm="1">
        <f t="array" ref="AF59">IFERROR(_xlfn.TEXTJOIN(", ", TRUE, _xlfn.UNIQUE(_xlfn._xlws.FILTER(K$2:K$100, (A$2:A$100 = AA59) * (D$2:D$100 = AB59) * ((J$2:J$100 &lt;= 0.05))))), "")</f>
        <v/>
      </c>
      <c r="AG59" s="51" t="str" cm="1">
        <f t="array" ref="AG59">_xlfn.TEXTJOIN(", ", TRUE, _xlfn.UNIQUE(IF((A$2:A$100 = R59) * (D$2:D$100 = S59) * ((J$2:J$100 &lt;= 0.05)), L$2:L$100, "")))</f>
        <v/>
      </c>
      <c r="AH59" s="51" t="str">
        <f t="shared" si="34"/>
        <v>OR / RRR</v>
      </c>
      <c r="AU59" s="1"/>
      <c r="AV59" s="1" t="str" cm="1">
        <f t="array" ref="AV59">INDEX($AU$1:$AU$100,INT((ROW(A59)-1)/3)+1)</f>
        <v>Comparator Acceptable</v>
      </c>
      <c r="AW59" s="1" t="str" cm="1">
        <f t="array" ref="AW59">INDEX({"OR","RRR","ME"},MOD(ROW(AH59)-1,3)+1)</f>
        <v>RRR</v>
      </c>
    </row>
    <row r="60" spans="1:49" ht="30">
      <c r="A60" s="45" t="s">
        <v>1169</v>
      </c>
      <c r="B60" s="45" t="s">
        <v>907</v>
      </c>
      <c r="C60" s="229" t="s">
        <v>1170</v>
      </c>
      <c r="D60" s="230" t="s">
        <v>879</v>
      </c>
      <c r="E60" s="231">
        <f>1/2.14</f>
        <v>0.46728971962616822</v>
      </c>
      <c r="F60" s="231">
        <f>1/4.83</f>
        <v>0.20703933747412007</v>
      </c>
      <c r="G60" s="231">
        <f>1/0.95</f>
        <v>1.0526315789473684</v>
      </c>
      <c r="H60" s="231"/>
      <c r="I60" s="231"/>
      <c r="J60" s="229">
        <v>7.0000000000000007E-2</v>
      </c>
      <c r="K60" s="229" t="s">
        <v>365</v>
      </c>
      <c r="L60" s="233" t="s">
        <v>909</v>
      </c>
      <c r="R60" s="44" t="str">
        <f t="shared" si="30"/>
        <v>Comparator Acceptable</v>
      </c>
      <c r="S60" s="51" t="str">
        <f t="shared" si="31"/>
        <v>RRR</v>
      </c>
      <c r="T60" s="51" t="str">
        <f t="shared" si="13"/>
        <v>0-0</v>
      </c>
      <c r="U60" s="51" t="e" cm="1" vm="1">
        <f t="array" ref="U60">_xlfn.TEXTJOIN(", ", TRUE, _xlfn.UNIQUE(_xlfn._xlws.FILTER(K$2:K$100, (A$2:A$100 = R60) * (D$2:D$100 = S60))))</f>
        <v>#VALUE!</v>
      </c>
      <c r="V60" s="51" t="str" cm="1">
        <f t="array" ref="V60">_xlfn.TEXTJOIN(", ", TRUE, _xlfn.UNIQUE(IF((A$2:A$100 = R60) * (D$2:D$100 = S60), L$2:L$100, "")))</f>
        <v/>
      </c>
      <c r="AA60" s="44" t="str">
        <f t="shared" si="32"/>
        <v>Comparator Acceptable</v>
      </c>
      <c r="AB60" s="51" t="str">
        <f t="shared" si="33"/>
        <v>RRR</v>
      </c>
      <c r="AC60" s="194" t="e">
        <f t="shared" si="5"/>
        <v>#VALUE!</v>
      </c>
      <c r="AD60" s="51" t="str">
        <f t="shared" si="6"/>
        <v>NA</v>
      </c>
      <c r="AE60" s="51" t="str">
        <f t="shared" si="7"/>
        <v>NA</v>
      </c>
      <c r="AF60" s="51" t="str" cm="1">
        <f t="array" ref="AF60">IFERROR(_xlfn.TEXTJOIN(", ", TRUE, _xlfn.UNIQUE(_xlfn._xlws.FILTER(K$2:K$100, (A$2:A$100 = AA60) * (D$2:D$100 = AB60) * ((J$2:J$100 &lt;= 0.05))))), "")</f>
        <v/>
      </c>
      <c r="AG60" s="51" t="str" cm="1">
        <f t="array" ref="AG60">_xlfn.TEXTJOIN(", ", TRUE, _xlfn.UNIQUE(IF((A$2:A$100 = R60) * (D$2:D$100 = S60) * ((J$2:J$100 &lt;= 0.05)), L$2:L$100, "")))</f>
        <v/>
      </c>
      <c r="AH60" s="51" t="str">
        <f t="shared" si="34"/>
        <v>OR / RRR</v>
      </c>
      <c r="AU60" s="1"/>
      <c r="AV60" s="1" t="str" cm="1">
        <f t="array" ref="AV60">INDEX($AU$1:$AU$100,INT((ROW(A60)-1)/3)+1)</f>
        <v>Comparator Acceptable</v>
      </c>
      <c r="AW60" s="1" t="str" cm="1">
        <f t="array" ref="AW60">INDEX({"OR","RRR","ME"},MOD(ROW(AH60)-1,3)+1)</f>
        <v>ME</v>
      </c>
    </row>
    <row r="61" spans="1:49" ht="90">
      <c r="A61" s="45" t="s">
        <v>1169</v>
      </c>
      <c r="B61" s="236" t="s">
        <v>885</v>
      </c>
      <c r="C61" s="229" t="s">
        <v>1170</v>
      </c>
      <c r="D61" s="230" t="s">
        <v>879</v>
      </c>
      <c r="E61" s="231">
        <v>1.097</v>
      </c>
      <c r="F61" s="231"/>
      <c r="G61" s="231"/>
      <c r="H61" s="231">
        <v>0.59299999999999997</v>
      </c>
      <c r="I61" s="231"/>
      <c r="J61" s="229" t="s">
        <v>886</v>
      </c>
      <c r="K61" s="237" t="s">
        <v>887</v>
      </c>
      <c r="L61" s="233" t="s">
        <v>888</v>
      </c>
      <c r="R61" s="44" t="str">
        <f t="shared" si="30"/>
        <v>Comparator Acceptable</v>
      </c>
      <c r="S61" s="51" t="str">
        <f t="shared" si="31"/>
        <v>ME</v>
      </c>
      <c r="T61" s="51" t="str">
        <f t="shared" si="13"/>
        <v>0-0</v>
      </c>
      <c r="U61" s="51" t="e" cm="1" vm="1">
        <f t="array" ref="U61">_xlfn.TEXTJOIN(", ", TRUE, _xlfn.UNIQUE(_xlfn._xlws.FILTER(K$2:K$100, (A$2:A$100 = R61) * (D$2:D$100 = S61))))</f>
        <v>#VALUE!</v>
      </c>
      <c r="V61" s="51" t="str" cm="1">
        <f t="array" ref="V61">_xlfn.TEXTJOIN(", ", TRUE, _xlfn.UNIQUE(IF((A$2:A$100 = R61) * (D$2:D$100 = S61), L$2:L$100, "")))</f>
        <v/>
      </c>
      <c r="AA61" s="44" t="str">
        <f t="shared" si="32"/>
        <v>Comparator Acceptable</v>
      </c>
      <c r="AB61" s="51" t="str">
        <f t="shared" si="33"/>
        <v>ME</v>
      </c>
      <c r="AC61" s="194" t="e">
        <f t="shared" si="5"/>
        <v>#VALUE!</v>
      </c>
      <c r="AD61" s="51" t="str">
        <f t="shared" si="6"/>
        <v>NA</v>
      </c>
      <c r="AE61" s="51" t="str">
        <f t="shared" si="7"/>
        <v>NA</v>
      </c>
      <c r="AF61" s="51" t="str" cm="1">
        <f t="array" ref="AF61">IFERROR(_xlfn.TEXTJOIN(", ", TRUE, _xlfn.UNIQUE(_xlfn._xlws.FILTER(K$2:K$100, (A$2:A$100 = AA61) * (D$2:D$100 = AB61) * ((J$2:J$100 &lt;= 0.05))))), "")</f>
        <v/>
      </c>
      <c r="AG61" s="51" t="str" cm="1">
        <f t="array" ref="AG61">_xlfn.TEXTJOIN(", ", TRUE, _xlfn.UNIQUE(IF((A$2:A$100 = R61) * (D$2:D$100 = S61) * ((J$2:J$100 &lt;= 0.05)), L$2:L$100, "")))</f>
        <v/>
      </c>
      <c r="AH61" s="51" t="str">
        <f t="shared" si="34"/>
        <v>ME</v>
      </c>
      <c r="AU61" s="1"/>
      <c r="AV61" s="1" cm="1">
        <f t="array" ref="AV61">INDEX($AU$1:$AU$100,INT((ROW(A61)-1)/3)+1)</f>
        <v>0</v>
      </c>
      <c r="AW61" s="1" t="str" cm="1">
        <f t="array" ref="AW61">INDEX({"OR","RRR","ME"},MOD(ROW(AH61)-1,3)+1)</f>
        <v>OR</v>
      </c>
    </row>
    <row r="62" spans="1:49" ht="30">
      <c r="A62" s="45" t="s">
        <v>1169</v>
      </c>
      <c r="B62" s="236" t="s">
        <v>885</v>
      </c>
      <c r="C62" s="229" t="s">
        <v>1170</v>
      </c>
      <c r="D62" s="230" t="s">
        <v>894</v>
      </c>
      <c r="E62" s="231">
        <v>1.7999999999999999E-2</v>
      </c>
      <c r="F62" s="231">
        <f>E62-1.96*H62</f>
        <v>-5.0600000000000006E-2</v>
      </c>
      <c r="G62" s="231">
        <f>E62+1.96*H62</f>
        <v>8.660000000000001E-2</v>
      </c>
      <c r="H62" s="231">
        <v>3.5000000000000003E-2</v>
      </c>
      <c r="I62" s="231"/>
      <c r="J62" s="229" t="s">
        <v>886</v>
      </c>
      <c r="K62" s="229" t="s">
        <v>960</v>
      </c>
      <c r="L62" s="233" t="s">
        <v>888</v>
      </c>
      <c r="R62" s="44">
        <f t="shared" si="30"/>
        <v>0</v>
      </c>
      <c r="S62" s="51" t="str">
        <f t="shared" si="31"/>
        <v>OR</v>
      </c>
      <c r="T62" s="51" t="str">
        <f t="shared" si="13"/>
        <v>0-0</v>
      </c>
      <c r="U62" s="51" t="str" cm="1">
        <f t="array" ref="U62">_xlfn.TEXTJOIN(", ", TRUE, _xlfn.UNIQUE(_xlfn._xlws.FILTER(K$2:K$100, (A$2:A$100 = R62) * (D$2:D$100 = S62))))</f>
        <v>Poland, Australia</v>
      </c>
      <c r="V62" s="51" t="str" cm="1">
        <f t="array" ref="V62">_xlfn.TEXTJOIN(", ", TRUE, _xlfn.UNIQUE(IF((A$2:A$100 = R62) * (D$2:D$100 = S62), L$2:L$100, "")))</f>
        <v>(Niewada et al., 2013), (Hill et al., 2022)</v>
      </c>
      <c r="AA62" s="209"/>
      <c r="AB62" s="213"/>
      <c r="AC62" s="211"/>
      <c r="AD62" s="213"/>
      <c r="AE62" s="213"/>
      <c r="AF62" s="213"/>
      <c r="AG62" s="213"/>
      <c r="AH62" s="213"/>
      <c r="AU62" s="1"/>
      <c r="AV62" s="1" cm="1">
        <f t="array" ref="AV62">INDEX($AU$1:$AU$100,INT((ROW(A62)-1)/3)+1)</f>
        <v>0</v>
      </c>
      <c r="AW62" s="1" t="str" cm="1">
        <f t="array" ref="AW62">INDEX({"OR","RRR","ME"},MOD(ROW(AH62)-1,3)+1)</f>
        <v>RRR</v>
      </c>
    </row>
    <row r="63" spans="1:49" ht="30">
      <c r="A63" s="45" t="s">
        <v>1169</v>
      </c>
      <c r="B63" s="236" t="s">
        <v>885</v>
      </c>
      <c r="C63" s="229" t="s">
        <v>1170</v>
      </c>
      <c r="D63" s="230" t="s">
        <v>894</v>
      </c>
      <c r="E63" s="231">
        <v>7.0000000000000001E-3</v>
      </c>
      <c r="F63" s="231">
        <f t="shared" ref="F63:F65" si="37">E63-1.96*H63</f>
        <v>-2.044E-2</v>
      </c>
      <c r="G63" s="231">
        <f t="shared" ref="G63:G65" si="38">E63+1.96*H63</f>
        <v>3.4439999999999998E-2</v>
      </c>
      <c r="H63" s="231">
        <v>1.4E-2</v>
      </c>
      <c r="I63" s="231"/>
      <c r="J63" s="229" t="s">
        <v>886</v>
      </c>
      <c r="K63" s="229" t="s">
        <v>565</v>
      </c>
      <c r="L63" s="233" t="s">
        <v>888</v>
      </c>
      <c r="R63" s="44">
        <f t="shared" si="30"/>
        <v>0</v>
      </c>
      <c r="S63" s="51" t="str">
        <f t="shared" si="31"/>
        <v>RRR</v>
      </c>
      <c r="T63" s="51" t="str">
        <f t="shared" si="13"/>
        <v>0-0</v>
      </c>
      <c r="U63" s="51" t="e" cm="1" vm="1">
        <f t="array" ref="U63">_xlfn.TEXTJOIN(", ", TRUE, _xlfn.UNIQUE(_xlfn._xlws.FILTER(K$2:K$100, (A$2:A$100 = R63) * (D$2:D$100 = S63))))</f>
        <v>#VALUE!</v>
      </c>
      <c r="V63" s="51" t="str" cm="1">
        <f t="array" ref="V63">_xlfn.TEXTJOIN(", ", TRUE, _xlfn.UNIQUE(IF((A$2:A$100 = R63) * (D$2:D$100 = S63), L$2:L$100, "")))</f>
        <v/>
      </c>
      <c r="AA63" s="209"/>
      <c r="AB63" s="213"/>
      <c r="AC63" s="211"/>
      <c r="AD63" s="213"/>
      <c r="AE63" s="213"/>
      <c r="AF63" s="213"/>
      <c r="AG63" s="213"/>
      <c r="AH63" s="213"/>
      <c r="AU63" s="1"/>
      <c r="AV63" s="1" cm="1">
        <f t="array" ref="AV63">INDEX($AU$1:$AU$100,INT((ROW(A63)-1)/3)+1)</f>
        <v>0</v>
      </c>
      <c r="AW63" s="1" t="str" cm="1">
        <f t="array" ref="AW63">INDEX({"OR","RRR","ME"},MOD(ROW(AH63)-1,3)+1)</f>
        <v>ME</v>
      </c>
    </row>
    <row r="64" spans="1:49" ht="30">
      <c r="A64" s="45" t="s">
        <v>1169</v>
      </c>
      <c r="B64" s="236" t="s">
        <v>885</v>
      </c>
      <c r="C64" s="229" t="s">
        <v>1170</v>
      </c>
      <c r="D64" s="230" t="s">
        <v>894</v>
      </c>
      <c r="E64" s="231">
        <v>1.7999999999999999E-2</v>
      </c>
      <c r="F64" s="231">
        <f t="shared" si="37"/>
        <v>-5.0600000000000006E-2</v>
      </c>
      <c r="G64" s="231">
        <f t="shared" si="38"/>
        <v>8.660000000000001E-2</v>
      </c>
      <c r="H64" s="231">
        <v>3.5000000000000003E-2</v>
      </c>
      <c r="I64" s="231"/>
      <c r="J64" s="229" t="s">
        <v>886</v>
      </c>
      <c r="K64" s="229" t="s">
        <v>548</v>
      </c>
      <c r="L64" s="233" t="s">
        <v>888</v>
      </c>
      <c r="R64" s="44">
        <f t="shared" si="30"/>
        <v>0</v>
      </c>
      <c r="S64" s="51" t="str">
        <f t="shared" si="31"/>
        <v>ME</v>
      </c>
      <c r="T64" s="51" t="str">
        <f t="shared" si="13"/>
        <v>0-0</v>
      </c>
      <c r="U64" s="51" t="e" cm="1" vm="1">
        <f t="array" ref="U64">_xlfn.TEXTJOIN(", ", TRUE, _xlfn.UNIQUE(_xlfn._xlws.FILTER(K$2:K$100, (A$2:A$100 = R64) * (D$2:D$100 = S64))))</f>
        <v>#VALUE!</v>
      </c>
      <c r="V64" s="51" t="str" cm="1">
        <f t="array" ref="V64">_xlfn.TEXTJOIN(", ", TRUE, _xlfn.UNIQUE(IF((A$2:A$100 = R64) * (D$2:D$100 = S64), L$2:L$100, "")))</f>
        <v/>
      </c>
      <c r="AA64" s="209"/>
      <c r="AB64" s="213"/>
      <c r="AC64" s="211"/>
      <c r="AD64" s="213"/>
      <c r="AE64" s="213"/>
      <c r="AF64" s="213"/>
      <c r="AG64" s="213"/>
      <c r="AH64" s="213"/>
      <c r="AU64" s="1"/>
      <c r="AV64" s="1" cm="1">
        <f t="array" ref="AV64">INDEX($AU$1:$AU$100,INT((ROW(A64)-1)/3)+1)</f>
        <v>0</v>
      </c>
      <c r="AW64" s="1" t="str" cm="1">
        <f t="array" ref="AW64">INDEX({"OR","RRR","ME"},MOD(ROW(AH64)-1,3)+1)</f>
        <v>OR</v>
      </c>
    </row>
    <row r="65" spans="1:49" ht="30">
      <c r="A65" s="45" t="s">
        <v>1169</v>
      </c>
      <c r="B65" s="236" t="s">
        <v>885</v>
      </c>
      <c r="C65" s="229" t="s">
        <v>1170</v>
      </c>
      <c r="D65" s="230" t="s">
        <v>894</v>
      </c>
      <c r="E65" s="231">
        <v>1.4999999999999999E-2</v>
      </c>
      <c r="F65" s="231">
        <f t="shared" si="37"/>
        <v>-4.1840000000000002E-2</v>
      </c>
      <c r="G65" s="231">
        <f t="shared" si="38"/>
        <v>7.1840000000000001E-2</v>
      </c>
      <c r="H65" s="231">
        <v>2.9000000000000001E-2</v>
      </c>
      <c r="I65" s="231"/>
      <c r="J65" s="229" t="s">
        <v>886</v>
      </c>
      <c r="K65" s="229" t="s">
        <v>840</v>
      </c>
      <c r="L65" s="233" t="s">
        <v>888</v>
      </c>
      <c r="R65" s="44">
        <f t="shared" si="30"/>
        <v>0</v>
      </c>
      <c r="S65" s="51" t="str">
        <f t="shared" si="31"/>
        <v>OR</v>
      </c>
      <c r="T65" s="51" t="str">
        <f t="shared" si="13"/>
        <v>0-0</v>
      </c>
      <c r="U65" s="51" t="str" cm="1">
        <f t="array" ref="U65">_xlfn.TEXTJOIN(", ", TRUE, _xlfn.UNIQUE(_xlfn._xlws.FILTER(K$2:K$100, (A$2:A$100 = R65) * (D$2:D$100 = S65))))</f>
        <v>Poland, Australia</v>
      </c>
      <c r="V65" s="51" t="str" cm="1">
        <f t="array" ref="V65">_xlfn.TEXTJOIN(", ", TRUE, _xlfn.UNIQUE(IF((A$2:A$100 = R65) * (D$2:D$100 = S65), L$2:L$100, "")))</f>
        <v>(Niewada et al., 2013), (Hill et al., 2022)</v>
      </c>
      <c r="AA65" s="209"/>
      <c r="AB65" s="213"/>
      <c r="AC65" s="211"/>
      <c r="AD65" s="213"/>
      <c r="AE65" s="213"/>
      <c r="AF65" s="213"/>
      <c r="AG65" s="213"/>
      <c r="AH65" s="213"/>
      <c r="AU65" s="1"/>
      <c r="AV65" s="1" cm="1">
        <f t="array" ref="AV65">INDEX($AU$1:$AU$100,INT((ROW(A65)-1)/3)+1)</f>
        <v>0</v>
      </c>
      <c r="AW65" s="1" t="str" cm="1">
        <f t="array" ref="AW65">INDEX({"OR","RRR","ME"},MOD(ROW(AH65)-1,3)+1)</f>
        <v>RRR</v>
      </c>
    </row>
    <row r="66" spans="1:49" ht="30">
      <c r="A66" s="45" t="s">
        <v>1169</v>
      </c>
      <c r="B66" s="229" t="s">
        <v>878</v>
      </c>
      <c r="C66" s="229" t="s">
        <v>1170</v>
      </c>
      <c r="D66" s="230" t="s">
        <v>879</v>
      </c>
      <c r="E66" s="231">
        <v>1.4379999999999999</v>
      </c>
      <c r="F66" s="231">
        <v>0.58299999999999996</v>
      </c>
      <c r="G66" s="231">
        <v>3.5489999999999999</v>
      </c>
      <c r="H66" s="231"/>
      <c r="I66" s="231"/>
      <c r="J66" s="229" t="s">
        <v>886</v>
      </c>
      <c r="K66" s="229" t="s">
        <v>840</v>
      </c>
      <c r="L66" s="233" t="s">
        <v>974</v>
      </c>
      <c r="M66" s="164"/>
      <c r="R66" s="44">
        <f t="shared" si="30"/>
        <v>0</v>
      </c>
      <c r="S66" s="51" t="str">
        <f t="shared" si="31"/>
        <v>RRR</v>
      </c>
      <c r="T66" s="51" t="str">
        <f t="shared" si="13"/>
        <v>0-0</v>
      </c>
      <c r="U66" s="51" t="e" cm="1" vm="1">
        <f t="array" ref="U66">_xlfn.TEXTJOIN(", ", TRUE, _xlfn.UNIQUE(_xlfn._xlws.FILTER(K$2:K$100, (A$2:A$100 = R66) * (D$2:D$100 = S66))))</f>
        <v>#VALUE!</v>
      </c>
      <c r="V66" s="51" t="str" cm="1">
        <f t="array" ref="V66">_xlfn.TEXTJOIN(", ", TRUE, _xlfn.UNIQUE(IF((A$2:A$100 = R66) * (D$2:D$100 = S66), L$2:L$100, "")))</f>
        <v/>
      </c>
      <c r="AA66" s="209"/>
      <c r="AB66" s="213"/>
      <c r="AC66" s="211"/>
      <c r="AD66" s="213"/>
      <c r="AE66" s="213"/>
      <c r="AF66" s="213"/>
      <c r="AG66" s="213"/>
      <c r="AH66" s="213"/>
      <c r="AU66" s="1"/>
      <c r="AV66" s="1" cm="1">
        <f t="array" ref="AV66">INDEX($AU$1:$AU$100,INT((ROW(A66)-1)/3)+1)</f>
        <v>0</v>
      </c>
      <c r="AW66" s="1" t="str" cm="1">
        <f t="array" ref="AW66">INDEX({"OR","RRR","ME"},MOD(ROW(AH66)-1,3)+1)</f>
        <v>ME</v>
      </c>
    </row>
    <row r="67" spans="1:49" ht="30">
      <c r="A67" s="45" t="s">
        <v>1169</v>
      </c>
      <c r="B67" s="45" t="s">
        <v>878</v>
      </c>
      <c r="C67" s="229" t="s">
        <v>1171</v>
      </c>
      <c r="D67" s="230" t="s">
        <v>879</v>
      </c>
      <c r="E67" s="231">
        <f>1/EXP(-0.514)</f>
        <v>1.671965699836113</v>
      </c>
      <c r="F67" s="231">
        <f>1/EXP(1.053)</f>
        <v>0.34888950901015336</v>
      </c>
      <c r="G67" s="231">
        <f>1/EXP(-2.136)</f>
        <v>8.4655077833015309</v>
      </c>
      <c r="H67" s="231"/>
      <c r="I67" s="231"/>
      <c r="J67" s="45">
        <v>0.50600000000000001</v>
      </c>
      <c r="K67" s="45" t="s">
        <v>365</v>
      </c>
      <c r="L67" s="45" t="s">
        <v>895</v>
      </c>
      <c r="R67" s="44">
        <f t="shared" si="30"/>
        <v>0</v>
      </c>
      <c r="S67" s="51" t="str">
        <f t="shared" si="31"/>
        <v>ME</v>
      </c>
      <c r="T67" s="51" t="str">
        <f t="shared" si="13"/>
        <v>0-0</v>
      </c>
      <c r="U67" s="51" t="e" cm="1" vm="1">
        <f t="array" ref="U67">_xlfn.TEXTJOIN(", ", TRUE, _xlfn.UNIQUE(_xlfn._xlws.FILTER(K$2:K$100, (A$2:A$100 = R67) * (D$2:D$100 = S67))))</f>
        <v>#VALUE!</v>
      </c>
      <c r="V67" s="51" t="str" cm="1">
        <f t="array" ref="V67">_xlfn.TEXTJOIN(", ", TRUE, _xlfn.UNIQUE(IF((A$2:A$100 = R67) * (D$2:D$100 = S67), L$2:L$100, "")))</f>
        <v/>
      </c>
      <c r="AA67" s="209"/>
      <c r="AB67" s="213"/>
      <c r="AC67" s="211"/>
      <c r="AD67" s="213"/>
      <c r="AE67" s="213"/>
      <c r="AF67" s="213"/>
      <c r="AG67" s="213"/>
      <c r="AH67" s="213"/>
      <c r="AU67" s="1"/>
      <c r="AV67" s="1" cm="1">
        <f t="array" ref="AV67">INDEX($AU$1:$AU$100,INT((ROW(A67)-1)/3)+1)</f>
        <v>0</v>
      </c>
      <c r="AW67" s="1" t="str" cm="1">
        <f t="array" ref="AW67">INDEX({"OR","RRR","ME"},MOD(ROW(AH67)-1,3)+1)</f>
        <v>OR</v>
      </c>
    </row>
    <row r="68" spans="1:49" ht="90">
      <c r="A68" s="45" t="s">
        <v>1169</v>
      </c>
      <c r="B68" s="234" t="s">
        <v>897</v>
      </c>
      <c r="C68" s="45" t="s">
        <v>1169</v>
      </c>
      <c r="D68" s="230" t="s">
        <v>879</v>
      </c>
      <c r="E68" s="231">
        <v>0.83</v>
      </c>
      <c r="F68" s="231">
        <v>0.34</v>
      </c>
      <c r="G68" s="231">
        <v>2.0099999999999998</v>
      </c>
      <c r="H68" s="231"/>
      <c r="I68" s="231"/>
      <c r="J68" s="238" t="s">
        <v>886</v>
      </c>
      <c r="K68" s="45" t="s">
        <v>911</v>
      </c>
      <c r="L68" s="233" t="s">
        <v>912</v>
      </c>
      <c r="R68" s="44">
        <f t="shared" si="30"/>
        <v>0</v>
      </c>
      <c r="S68" s="51" t="str">
        <f t="shared" si="31"/>
        <v>OR</v>
      </c>
      <c r="T68" s="51" t="str">
        <f t="shared" ref="T68:T78" si="39">ROUND(_xlfn.MINIFS(E:E, A:A, R68, D:D, S68), 2) &amp; "-" &amp; ROUND(_xlfn.MAXIFS(E:E, A:A, R68, D:D, S68), 2)</f>
        <v>0-0</v>
      </c>
      <c r="U68" s="51" t="str" cm="1">
        <f t="array" ref="U68">_xlfn.TEXTJOIN(", ", TRUE, _xlfn.UNIQUE(_xlfn._xlws.FILTER(K$2:K$100, (A$2:A$100 = R68) * (D$2:D$100 = S68))))</f>
        <v>Poland, Australia</v>
      </c>
      <c r="V68" s="51" t="str" cm="1">
        <f t="array" ref="V68">_xlfn.TEXTJOIN(", ", TRUE, _xlfn.UNIQUE(IF((A$2:A$100 = R68) * (D$2:D$100 = S68), L$2:L$100, "")))</f>
        <v>(Niewada et al., 2013), (Hill et al., 2022)</v>
      </c>
      <c r="AA68" s="209"/>
      <c r="AB68" s="213"/>
      <c r="AC68" s="211"/>
      <c r="AD68" s="213"/>
      <c r="AE68" s="213"/>
      <c r="AF68" s="213"/>
      <c r="AG68" s="213"/>
      <c r="AH68" s="213"/>
      <c r="AU68" s="1"/>
      <c r="AV68" s="1" cm="1">
        <f t="array" ref="AV68">INDEX($AU$1:$AU$100,INT((ROW(A68)-1)/3)+1)</f>
        <v>0</v>
      </c>
      <c r="AW68" s="1" t="str" cm="1">
        <f t="array" ref="AW68">INDEX({"OR","RRR","ME"},MOD(ROW(AH68)-1,3)+1)</f>
        <v>RRR</v>
      </c>
    </row>
    <row r="69" spans="1:49" ht="60">
      <c r="A69" s="45" t="s">
        <v>1169</v>
      </c>
      <c r="B69" s="45" t="s">
        <v>949</v>
      </c>
      <c r="C69" s="45" t="s">
        <v>1169</v>
      </c>
      <c r="D69" s="230" t="s">
        <v>891</v>
      </c>
      <c r="E69" s="231">
        <f>1/EXP(-2.54)</f>
        <v>12.679670970833877</v>
      </c>
      <c r="F69" s="231">
        <f>1/EXP(-1.24)</f>
        <v>3.4556134647626759</v>
      </c>
      <c r="G69" s="231">
        <f>1/EXP(-3.84)</f>
        <v>46.5254744397892</v>
      </c>
      <c r="H69" s="231"/>
      <c r="I69" s="231"/>
      <c r="J69" s="238">
        <v>1E-3</v>
      </c>
      <c r="K69" s="238" t="s">
        <v>152</v>
      </c>
      <c r="L69" s="233" t="s">
        <v>950</v>
      </c>
      <c r="R69" s="44">
        <f t="shared" ref="R69:S78" si="40">AV68</f>
        <v>0</v>
      </c>
      <c r="S69" s="51" t="str">
        <f t="shared" si="40"/>
        <v>RRR</v>
      </c>
      <c r="T69" s="51" t="str">
        <f t="shared" si="39"/>
        <v>0-0</v>
      </c>
      <c r="U69" s="51" t="e" cm="1" vm="1">
        <f t="array" ref="U69">_xlfn.TEXTJOIN(", ", TRUE, _xlfn.UNIQUE(_xlfn._xlws.FILTER(K$2:K$100, (A$2:A$100 = R69) * (D$2:D$100 = S69))))</f>
        <v>#VALUE!</v>
      </c>
      <c r="V69" s="51" t="str" cm="1">
        <f t="array" ref="V69">_xlfn.TEXTJOIN(", ", TRUE, _xlfn.UNIQUE(IF((A$2:A$100 = R69) * (D$2:D$100 = S69), L$2:L$100, "")))</f>
        <v/>
      </c>
      <c r="AA69" s="209"/>
      <c r="AB69" s="213"/>
      <c r="AC69" s="211"/>
      <c r="AD69" s="213"/>
      <c r="AE69" s="213"/>
      <c r="AF69" s="213"/>
      <c r="AG69" s="213"/>
      <c r="AH69" s="213"/>
      <c r="AU69" s="1"/>
      <c r="AV69" s="1" cm="1">
        <f t="array" ref="AV69">INDEX($AU$1:$AU$100,INT((ROW(A69)-1)/3)+1)</f>
        <v>0</v>
      </c>
      <c r="AW69" s="1" t="str" cm="1">
        <f t="array" ref="AW69">INDEX({"OR","RRR","ME"},MOD(ROW(AH69)-1,3)+1)</f>
        <v>ME</v>
      </c>
    </row>
    <row r="70" spans="1:49" ht="45">
      <c r="A70" s="45" t="s">
        <v>1169</v>
      </c>
      <c r="B70" s="234" t="s">
        <v>897</v>
      </c>
      <c r="C70" s="229" t="s">
        <v>1172</v>
      </c>
      <c r="D70" s="230" t="s">
        <v>879</v>
      </c>
      <c r="E70" s="231">
        <f>1/(1/10.8)</f>
        <v>10.8</v>
      </c>
      <c r="F70" s="231">
        <v>3.2</v>
      </c>
      <c r="G70" s="231">
        <v>36.299999999999997</v>
      </c>
      <c r="H70" s="231"/>
      <c r="I70" s="231"/>
      <c r="J70" s="229">
        <v>1E-3</v>
      </c>
      <c r="K70" s="229" t="s">
        <v>365</v>
      </c>
      <c r="L70" s="233" t="s">
        <v>999</v>
      </c>
      <c r="R70" s="44">
        <f t="shared" si="40"/>
        <v>0</v>
      </c>
      <c r="S70" s="51" t="str">
        <f t="shared" si="40"/>
        <v>ME</v>
      </c>
      <c r="T70" s="51" t="str">
        <f t="shared" si="39"/>
        <v>0-0</v>
      </c>
      <c r="U70" s="51" t="e" cm="1" vm="1">
        <f t="array" ref="U70">_xlfn.TEXTJOIN(", ", TRUE, _xlfn.UNIQUE(_xlfn._xlws.FILTER(K$2:K$100, (A$2:A$100 = R70) * (D$2:D$100 = S70))))</f>
        <v>#VALUE!</v>
      </c>
      <c r="V70" s="51" t="str" cm="1">
        <f t="array" ref="V70">_xlfn.TEXTJOIN(", ", TRUE, _xlfn.UNIQUE(IF((A$2:A$100 = R70) * (D$2:D$100 = S70), L$2:L$100, "")))</f>
        <v/>
      </c>
      <c r="AA70" s="209"/>
      <c r="AB70" s="213"/>
      <c r="AC70" s="211"/>
      <c r="AD70" s="213"/>
      <c r="AE70" s="213"/>
      <c r="AF70" s="213"/>
      <c r="AG70" s="213"/>
      <c r="AH70" s="213"/>
      <c r="AU70" s="1"/>
      <c r="AV70" s="1" cm="1">
        <f t="array" ref="AV70">INDEX($AU$1:$AU$100,INT((ROW(A70)-1)/3)+1)</f>
        <v>0</v>
      </c>
      <c r="AW70" s="1"/>
    </row>
    <row r="71" spans="1:49" ht="30">
      <c r="A71" s="100" t="s">
        <v>1173</v>
      </c>
      <c r="B71" s="110" t="s">
        <v>878</v>
      </c>
      <c r="C71" s="100" t="s">
        <v>1174</v>
      </c>
      <c r="D71" s="93" t="s">
        <v>879</v>
      </c>
      <c r="E71" s="95">
        <f>1/EXP(-0.897)</f>
        <v>2.4522353589775614</v>
      </c>
      <c r="F71" s="95">
        <f>1/EXP(1.534)</f>
        <v>0.21567125462467562</v>
      </c>
      <c r="G71" s="95">
        <f>1/EXP(-3.327)</f>
        <v>27.854652275036155</v>
      </c>
      <c r="H71" s="95"/>
      <c r="I71" s="95"/>
      <c r="J71" s="100">
        <v>0.75800000000000001</v>
      </c>
      <c r="K71" s="100" t="s">
        <v>365</v>
      </c>
      <c r="L71" s="100" t="s">
        <v>1145</v>
      </c>
      <c r="R71" s="44">
        <f t="shared" si="40"/>
        <v>0</v>
      </c>
      <c r="S71" s="51">
        <f t="shared" si="40"/>
        <v>0</v>
      </c>
      <c r="T71" s="51" t="str">
        <f t="shared" si="39"/>
        <v>0-0</v>
      </c>
      <c r="U71" s="51" t="str" cm="1">
        <f t="array" ref="U71">_xlfn.TEXTJOIN(", ", TRUE, _xlfn.UNIQUE(_xlfn._xlws.FILTER(K$2:K$100, (A$2:A$100 = R71) * (D$2:D$100 = S71))))</f>
        <v/>
      </c>
      <c r="V71" s="51" t="str" cm="1">
        <f t="array" ref="V71">_xlfn.TEXTJOIN(", ", TRUE, _xlfn.UNIQUE(IF((A$2:A$100 = R71) * (D$2:D$100 = S71), L$2:L$100, "")))</f>
        <v>0</v>
      </c>
      <c r="AA71" s="209"/>
      <c r="AB71" s="213"/>
      <c r="AC71" s="211"/>
      <c r="AD71" s="213"/>
      <c r="AE71" s="213"/>
      <c r="AF71" s="213"/>
      <c r="AG71" s="213"/>
      <c r="AH71" s="213"/>
      <c r="AU71" s="1"/>
      <c r="AV71" s="1" cm="1">
        <f t="array" ref="AV71">INDEX($AU$1:$AU$100,INT((ROW(A71)-1)/3)+1)</f>
        <v>0</v>
      </c>
      <c r="AW71" s="1"/>
    </row>
    <row r="72" spans="1:49" ht="95.25" customHeight="1">
      <c r="A72" s="100"/>
      <c r="B72" s="100"/>
      <c r="C72" s="100"/>
      <c r="D72" s="93"/>
      <c r="E72" s="95"/>
      <c r="F72" s="95"/>
      <c r="G72" s="95"/>
      <c r="H72" s="95"/>
      <c r="I72" s="95"/>
      <c r="J72" s="100"/>
      <c r="K72" s="100"/>
      <c r="L72" s="100"/>
      <c r="R72" s="44">
        <f t="shared" si="40"/>
        <v>0</v>
      </c>
      <c r="S72" s="51">
        <f t="shared" si="40"/>
        <v>0</v>
      </c>
      <c r="T72" s="51" t="str">
        <f t="shared" si="39"/>
        <v>0-0</v>
      </c>
      <c r="U72" s="51" t="str" cm="1">
        <f t="array" ref="U72">_xlfn.TEXTJOIN(", ", TRUE, _xlfn.UNIQUE(_xlfn._xlws.FILTER(K$2:K$100, (A$2:A$100 = R72) * (D$2:D$100 = S72))))</f>
        <v/>
      </c>
      <c r="V72" s="51" t="str" cm="1">
        <f t="array" ref="V72">_xlfn.TEXTJOIN(", ", TRUE, _xlfn.UNIQUE(IF((A$2:A$100 = R72) * (D$2:D$100 = S72), L$2:L$100, "")))</f>
        <v>0</v>
      </c>
      <c r="AA72" s="209"/>
      <c r="AB72" s="213"/>
      <c r="AC72" s="211"/>
      <c r="AD72" s="213"/>
      <c r="AE72" s="213"/>
      <c r="AF72" s="213"/>
      <c r="AG72" s="213"/>
      <c r="AH72" s="213"/>
      <c r="AU72" s="1"/>
      <c r="AV72" s="1" cm="1">
        <f t="array" ref="AV72">INDEX($AU$1:$AU$100,INT((ROW(A72)-1)/3)+1)</f>
        <v>0</v>
      </c>
      <c r="AW72" s="1"/>
    </row>
    <row r="73" spans="1:49">
      <c r="A73" s="100"/>
      <c r="B73" s="100"/>
      <c r="C73" s="100"/>
      <c r="D73" s="93"/>
      <c r="E73" s="95"/>
      <c r="F73" s="95"/>
      <c r="G73" s="95"/>
      <c r="H73" s="95"/>
      <c r="I73" s="95"/>
      <c r="J73" s="100"/>
      <c r="K73" s="100"/>
      <c r="L73" s="100"/>
      <c r="R73" s="44">
        <f t="shared" si="40"/>
        <v>0</v>
      </c>
      <c r="S73" s="51">
        <f t="shared" si="40"/>
        <v>0</v>
      </c>
      <c r="T73" s="51" t="str">
        <f t="shared" si="39"/>
        <v>0-0</v>
      </c>
      <c r="U73" s="51" t="str" cm="1">
        <f t="array" ref="U73">_xlfn.TEXTJOIN(", ", TRUE, _xlfn.UNIQUE(_xlfn._xlws.FILTER(K$2:K$100, (A$2:A$100 = R73) * (D$2:D$100 = S73))))</f>
        <v/>
      </c>
      <c r="V73" s="51" t="str" cm="1">
        <f t="array" ref="V73">_xlfn.TEXTJOIN(", ", TRUE, _xlfn.UNIQUE(IF((A$2:A$100 = R73) * (D$2:D$100 = S73), L$2:L$100, "")))</f>
        <v>0</v>
      </c>
      <c r="AA73" s="209"/>
      <c r="AB73" s="213"/>
      <c r="AC73" s="211"/>
      <c r="AD73" s="213"/>
      <c r="AE73" s="213"/>
      <c r="AF73" s="213"/>
      <c r="AG73" s="213"/>
      <c r="AH73" s="213"/>
      <c r="AU73" s="1"/>
      <c r="AV73" s="1" cm="1">
        <f t="array" ref="AV73">INDEX($AU$1:$AU$100,INT((ROW(A73)-1)/3)+1)</f>
        <v>0</v>
      </c>
      <c r="AW73" s="1"/>
    </row>
    <row r="74" spans="1:49">
      <c r="A74" s="100"/>
      <c r="B74" s="100"/>
      <c r="C74" s="100"/>
      <c r="D74" s="93"/>
      <c r="E74" s="95"/>
      <c r="F74" s="95"/>
      <c r="G74" s="95"/>
      <c r="H74" s="95"/>
      <c r="I74" s="95"/>
      <c r="J74" s="100"/>
      <c r="K74" s="100"/>
      <c r="L74" s="100"/>
      <c r="R74" s="44">
        <f t="shared" si="40"/>
        <v>0</v>
      </c>
      <c r="S74" s="51">
        <f t="shared" si="40"/>
        <v>0</v>
      </c>
      <c r="T74" s="51" t="str">
        <f t="shared" si="39"/>
        <v>0-0</v>
      </c>
      <c r="U74" s="51" t="str" cm="1">
        <f t="array" ref="U74">_xlfn.TEXTJOIN(", ", TRUE, _xlfn.UNIQUE(_xlfn._xlws.FILTER(K$2:K$100, (A$2:A$100 = R74) * (D$2:D$100 = S74))))</f>
        <v/>
      </c>
      <c r="V74" s="51" t="str" cm="1">
        <f t="array" ref="V74">_xlfn.TEXTJOIN(", ", TRUE, _xlfn.UNIQUE(IF((A$2:A$100 = R74) * (D$2:D$100 = S74), L$2:L$100, "")))</f>
        <v>0</v>
      </c>
      <c r="AA74" s="209"/>
      <c r="AB74" s="213"/>
      <c r="AC74" s="211"/>
      <c r="AD74" s="213"/>
      <c r="AE74" s="213"/>
      <c r="AF74" s="213"/>
      <c r="AG74" s="213"/>
      <c r="AH74" s="213"/>
      <c r="AU74" s="1"/>
      <c r="AV74" s="1" cm="1">
        <f t="array" ref="AV74">INDEX($AU$1:$AU$100,INT((ROW(A74)-1)/3)+1)</f>
        <v>0</v>
      </c>
      <c r="AW74" s="1"/>
    </row>
    <row r="75" spans="1:49">
      <c r="A75" s="100"/>
      <c r="B75" s="100"/>
      <c r="C75" s="100"/>
      <c r="D75" s="93"/>
      <c r="E75" s="95"/>
      <c r="F75" s="95"/>
      <c r="G75" s="95"/>
      <c r="H75" s="95"/>
      <c r="I75" s="95"/>
      <c r="J75" s="100"/>
      <c r="K75" s="100"/>
      <c r="L75" s="100"/>
      <c r="R75" s="44">
        <f t="shared" si="40"/>
        <v>0</v>
      </c>
      <c r="S75" s="51">
        <f t="shared" si="40"/>
        <v>0</v>
      </c>
      <c r="T75" s="51" t="str">
        <f t="shared" si="39"/>
        <v>0-0</v>
      </c>
      <c r="U75" s="51" t="str" cm="1">
        <f t="array" ref="U75">_xlfn.TEXTJOIN(", ", TRUE, _xlfn.UNIQUE(_xlfn._xlws.FILTER(K$2:K$100, (A$2:A$100 = R75) * (D$2:D$100 = S75))))</f>
        <v/>
      </c>
      <c r="V75" s="51" t="str" cm="1">
        <f t="array" ref="V75">_xlfn.TEXTJOIN(", ", TRUE, _xlfn.UNIQUE(IF((A$2:A$100 = R75) * (D$2:D$100 = S75), L$2:L$100, "")))</f>
        <v>0</v>
      </c>
      <c r="AA75" s="209"/>
      <c r="AB75" s="213"/>
      <c r="AC75" s="211"/>
      <c r="AD75" s="213"/>
      <c r="AE75" s="213"/>
      <c r="AF75" s="213"/>
      <c r="AG75" s="213"/>
      <c r="AH75" s="213"/>
      <c r="AU75" s="1"/>
      <c r="AV75" s="1" cm="1">
        <f t="array" ref="AV75">INDEX($AU$1:$AU$100,INT((ROW(A75)-1)/3)+1)</f>
        <v>0</v>
      </c>
      <c r="AW75" s="1"/>
    </row>
    <row r="76" spans="1:49" ht="90">
      <c r="A76" s="96" t="s">
        <v>1142</v>
      </c>
      <c r="B76" s="166" t="s">
        <v>885</v>
      </c>
      <c r="C76" s="96" t="s">
        <v>1175</v>
      </c>
      <c r="D76" s="93" t="s">
        <v>879</v>
      </c>
      <c r="E76" s="95">
        <f>1/1.211</f>
        <v>0.82576383154417832</v>
      </c>
      <c r="F76" s="95"/>
      <c r="G76" s="95"/>
      <c r="H76" s="95">
        <v>0.74299999999999999</v>
      </c>
      <c r="I76" s="153"/>
      <c r="J76" s="96" t="s">
        <v>886</v>
      </c>
      <c r="K76" s="99" t="s">
        <v>887</v>
      </c>
      <c r="L76" s="92" t="s">
        <v>888</v>
      </c>
      <c r="R76" s="44">
        <f t="shared" si="40"/>
        <v>0</v>
      </c>
      <c r="S76" s="51">
        <f t="shared" si="40"/>
        <v>0</v>
      </c>
      <c r="T76" s="51" t="str">
        <f t="shared" si="39"/>
        <v>0-0</v>
      </c>
      <c r="U76" s="51" t="str" cm="1">
        <f t="array" ref="U76">_xlfn.TEXTJOIN(", ", TRUE, _xlfn.UNIQUE(_xlfn._xlws.FILTER(K$2:K$100, (A$2:A$100 = R76) * (D$2:D$100 = S76))))</f>
        <v/>
      </c>
      <c r="V76" s="51" t="str" cm="1">
        <f t="array" ref="V76">_xlfn.TEXTJOIN(", ", TRUE, _xlfn.UNIQUE(IF((A$2:A$100 = R76) * (D$2:D$100 = S76), L$2:L$100, "")))</f>
        <v>0</v>
      </c>
      <c r="AA76" s="209"/>
      <c r="AB76" s="213"/>
      <c r="AC76" s="211"/>
      <c r="AD76" s="213"/>
      <c r="AE76" s="213"/>
      <c r="AF76" s="213"/>
      <c r="AG76" s="213"/>
      <c r="AH76" s="213"/>
      <c r="AU76" s="1"/>
      <c r="AV76" s="1" cm="1">
        <f t="array" ref="AV76">INDEX($AU$1:$AU$100,INT((ROW(A76)-1)/3)+1)</f>
        <v>0</v>
      </c>
      <c r="AW76" s="1"/>
    </row>
    <row r="77" spans="1:49" ht="30">
      <c r="A77" s="93" t="s">
        <v>1146</v>
      </c>
      <c r="B77" s="166" t="s">
        <v>885</v>
      </c>
      <c r="C77" s="96" t="s">
        <v>1147</v>
      </c>
      <c r="D77" s="93" t="s">
        <v>894</v>
      </c>
      <c r="E77" s="95">
        <v>-3.6999999999999998E-2</v>
      </c>
      <c r="F77" s="95">
        <f>E77-1.96*H77</f>
        <v>-5.8560000000000001E-2</v>
      </c>
      <c r="G77" s="95">
        <f>E77+1.96*H77</f>
        <v>-1.5439999999999999E-2</v>
      </c>
      <c r="H77" s="95">
        <v>1.0999999999999999E-2</v>
      </c>
      <c r="I77" s="95"/>
      <c r="J77" s="96">
        <v>0.01</v>
      </c>
      <c r="K77" s="96" t="s">
        <v>1033</v>
      </c>
      <c r="L77" s="92" t="s">
        <v>888</v>
      </c>
      <c r="R77" s="44">
        <f t="shared" si="40"/>
        <v>0</v>
      </c>
      <c r="S77" s="51">
        <f t="shared" si="40"/>
        <v>0</v>
      </c>
      <c r="T77" s="51" t="str">
        <f t="shared" si="39"/>
        <v>0-0</v>
      </c>
      <c r="U77" s="51" t="str" cm="1">
        <f t="array" ref="U77">_xlfn.TEXTJOIN(", ", TRUE, _xlfn.UNIQUE(_xlfn._xlws.FILTER(K$2:K$100, (A$2:A$100 = R77) * (D$2:D$100 = S77))))</f>
        <v/>
      </c>
      <c r="V77" s="51" t="str" cm="1">
        <f t="array" ref="V77">_xlfn.TEXTJOIN(", ", TRUE, _xlfn.UNIQUE(IF((A$2:A$100 = R77) * (D$2:D$100 = S77), L$2:L$100, "")))</f>
        <v>0</v>
      </c>
      <c r="AA77" s="209"/>
      <c r="AB77" s="213"/>
      <c r="AC77" s="211"/>
      <c r="AD77" s="213"/>
      <c r="AE77" s="213"/>
      <c r="AF77" s="213"/>
      <c r="AG77" s="213"/>
      <c r="AH77" s="213"/>
      <c r="AU77" s="1"/>
      <c r="AV77" s="1" cm="1">
        <f t="array" ref="AV77">INDEX($AU$1:$AU$100,INT((ROW(A77)-1)/3)+1)</f>
        <v>0</v>
      </c>
      <c r="AW77" s="1"/>
    </row>
    <row r="78" spans="1:49" ht="30">
      <c r="A78" s="100" t="s">
        <v>1169</v>
      </c>
      <c r="B78" s="166" t="s">
        <v>885</v>
      </c>
      <c r="C78" s="96" t="s">
        <v>1170</v>
      </c>
      <c r="D78" s="93" t="s">
        <v>894</v>
      </c>
      <c r="E78" s="95">
        <v>3.6999999999999998E-2</v>
      </c>
      <c r="F78" s="95">
        <f>E78-1.96*H78</f>
        <v>-0.10020000000000001</v>
      </c>
      <c r="G78" s="95">
        <f>E78+1.96*H78</f>
        <v>0.17420000000000002</v>
      </c>
      <c r="H78" s="95">
        <v>7.0000000000000007E-2</v>
      </c>
      <c r="I78" s="95"/>
      <c r="J78" s="96" t="s">
        <v>886</v>
      </c>
      <c r="K78" s="96" t="s">
        <v>1033</v>
      </c>
      <c r="L78" s="92" t="s">
        <v>888</v>
      </c>
      <c r="R78" s="44">
        <f t="shared" si="40"/>
        <v>0</v>
      </c>
      <c r="S78" s="51">
        <f t="shared" si="40"/>
        <v>0</v>
      </c>
      <c r="T78" s="51" t="str">
        <f t="shared" si="39"/>
        <v>0-0</v>
      </c>
      <c r="U78" s="51" t="str" cm="1">
        <f t="array" ref="U78">_xlfn.TEXTJOIN(", ", TRUE, _xlfn.UNIQUE(_xlfn._xlws.FILTER(K$2:K$100, (A$2:A$100 = R78) * (D$2:D$100 = S78))))</f>
        <v/>
      </c>
      <c r="V78" s="51" t="str" cm="1">
        <f t="array" ref="V78">_xlfn.TEXTJOIN(", ", TRUE, _xlfn.UNIQUE(IF((A$2:A$100 = R78) * (D$2:D$100 = S78), L$2:L$100, "")))</f>
        <v>0</v>
      </c>
      <c r="AA78" s="209"/>
      <c r="AB78" s="213"/>
      <c r="AC78" s="211"/>
      <c r="AD78" s="213"/>
      <c r="AE78" s="213"/>
      <c r="AF78" s="213"/>
      <c r="AG78" s="213"/>
      <c r="AH78" s="213"/>
      <c r="AU78" s="1"/>
      <c r="AV78" s="1" cm="1">
        <f t="array" ref="AV78">INDEX($AU$1:$AU$100,INT((ROW(A78)-1)/3)+1)</f>
        <v>0</v>
      </c>
      <c r="AW78" s="1"/>
    </row>
    <row r="79" spans="1:49" ht="45">
      <c r="A79" s="110" t="s">
        <v>1142</v>
      </c>
      <c r="B79" s="110" t="s">
        <v>878</v>
      </c>
      <c r="C79" s="100" t="s">
        <v>1176</v>
      </c>
      <c r="D79" s="93" t="s">
        <v>879</v>
      </c>
      <c r="E79" s="95">
        <f>1/EXP(-2.038)</f>
        <v>7.6752433514506153</v>
      </c>
      <c r="F79" s="95">
        <f>1/EXP(0.855)</f>
        <v>0.42528319108227408</v>
      </c>
      <c r="G79" s="95">
        <f>1/EXP(-4.932)</f>
        <v>138.65654830826361</v>
      </c>
      <c r="H79" s="95"/>
      <c r="I79" s="95"/>
      <c r="J79" s="100">
        <v>0.16700000000000001</v>
      </c>
      <c r="K79" s="100" t="s">
        <v>365</v>
      </c>
      <c r="L79" s="100" t="s">
        <v>895</v>
      </c>
      <c r="AU79" s="1"/>
      <c r="AV79" s="1" cm="1">
        <f t="array" ref="AV79">INDEX($AU$1:$AU$100,INT((ROW(A79)-1)/3)+1)</f>
        <v>0</v>
      </c>
      <c r="AW79" s="1"/>
    </row>
    <row r="80" spans="1:49">
      <c r="AU80" s="1"/>
      <c r="AV80" s="1" cm="1">
        <f t="array" ref="AV80">INDEX($AU$1:$AU$100,INT((ROW(A80)-1)/3)+1)</f>
        <v>0</v>
      </c>
      <c r="AW80" s="1"/>
    </row>
    <row r="81" spans="47:49">
      <c r="AU81" s="1"/>
      <c r="AV81" s="1" cm="1">
        <f t="array" ref="AV81">INDEX($AU$1:$AU$100,INT((ROW(A81)-1)/3)+1)</f>
        <v>0</v>
      </c>
      <c r="AW81" s="1"/>
    </row>
    <row r="82" spans="47:49">
      <c r="AU82" s="1"/>
      <c r="AV82" s="1" cm="1">
        <f t="array" ref="AV82">INDEX($AU$1:$AU$100,INT((ROW(A82)-1)/3)+1)</f>
        <v>0</v>
      </c>
      <c r="AW82" s="1"/>
    </row>
    <row r="83" spans="47:49">
      <c r="AU83" s="1"/>
      <c r="AV83" s="1" cm="1">
        <f t="array" ref="AV83">INDEX($AU$1:$AU$100,INT((ROW(A83)-1)/3)+1)</f>
        <v>0</v>
      </c>
      <c r="AW83" s="1"/>
    </row>
    <row r="84" spans="47:49">
      <c r="AU84" s="1"/>
      <c r="AV84" s="1" cm="1">
        <f t="array" ref="AV84">INDEX($AU$1:$AU$100,INT((ROW(A84)-1)/3)+1)</f>
        <v>0</v>
      </c>
      <c r="AW84" s="1"/>
    </row>
    <row r="85" spans="47:49">
      <c r="AU85" s="1"/>
      <c r="AV85" s="1" cm="1">
        <f t="array" ref="AV85">INDEX($AU$1:$AU$100,INT((ROW(A85)-1)/3)+1)</f>
        <v>0</v>
      </c>
      <c r="AW85" s="1"/>
    </row>
    <row r="86" spans="47:49">
      <c r="AU86" s="1"/>
      <c r="AV86" s="1" cm="1">
        <f t="array" ref="AV86">INDEX($AU$1:$AU$100,INT((ROW(A86)-1)/3)+1)</f>
        <v>0</v>
      </c>
      <c r="AW86" s="1"/>
    </row>
    <row r="87" spans="47:49">
      <c r="AU87" s="1"/>
      <c r="AV87" s="1" cm="1">
        <f t="array" ref="AV87">INDEX($AU$1:$AU$100,INT((ROW(A87)-1)/3)+1)</f>
        <v>0</v>
      </c>
      <c r="AW87" s="1"/>
    </row>
    <row r="88" spans="47:49">
      <c r="AU88" s="1"/>
      <c r="AV88" s="1" cm="1">
        <f t="array" ref="AV88">INDEX($AU$1:$AU$100,INT((ROW(A88)-1)/3)+1)</f>
        <v>0</v>
      </c>
      <c r="AW88" s="1"/>
    </row>
    <row r="89" spans="47:49">
      <c r="AU89" s="1"/>
      <c r="AV89" s="1" cm="1">
        <f t="array" ref="AV89">INDEX($AU$1:$AU$100,INT((ROW(A89)-1)/3)+1)</f>
        <v>0</v>
      </c>
      <c r="AW89" s="1"/>
    </row>
    <row r="90" spans="47:49">
      <c r="AU90" s="1"/>
      <c r="AV90" s="1" cm="1">
        <f t="array" ref="AV90">INDEX($AU$1:$AU$100,INT((ROW(A90)-1)/3)+1)</f>
        <v>0</v>
      </c>
      <c r="AW90" s="1"/>
    </row>
    <row r="91" spans="47:49">
      <c r="AU91" s="1"/>
      <c r="AV91" s="1" cm="1">
        <f t="array" ref="AV91">INDEX($AU$1:$AU$100,INT((ROW(A91)-1)/3)+1)</f>
        <v>0</v>
      </c>
      <c r="AW91" s="1"/>
    </row>
    <row r="92" spans="47:49">
      <c r="AU92" s="1"/>
      <c r="AV92" s="1" cm="1">
        <f t="array" ref="AV92">INDEX($AU$1:$AU$100,INT((ROW(A92)-1)/3)+1)</f>
        <v>0</v>
      </c>
      <c r="AW92" s="1"/>
    </row>
    <row r="93" spans="47:49">
      <c r="AU93" s="1"/>
      <c r="AV93" s="1" cm="1">
        <f t="array" ref="AV93">INDEX($AU$1:$AU$100,INT((ROW(A93)-1)/3)+1)</f>
        <v>0</v>
      </c>
      <c r="AW93" s="1"/>
    </row>
    <row r="94" spans="47:49">
      <c r="AU94" s="1"/>
      <c r="AV94" s="1" cm="1">
        <f t="array" ref="AV94">INDEX($AU$1:$AU$100,INT((ROW(A94)-1)/3)+1)</f>
        <v>0</v>
      </c>
      <c r="AW94" s="1"/>
    </row>
  </sheetData>
  <autoFilter ref="AK1:AQ23" xr:uid="{7DDFC3DA-220F-4EE6-9229-A97632C3C824}"/>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4B75F-997C-495D-A2A2-7CF40BDDC3F0}">
  <sheetPr codeName="Sheet10"/>
  <dimension ref="A1:BE86"/>
  <sheetViews>
    <sheetView workbookViewId="0">
      <pane xSplit="3" ySplit="1" topLeftCell="AM40" activePane="bottomRight" state="frozen"/>
      <selection pane="bottomRight" activeCell="L29" sqref="L29"/>
      <selection pane="bottomLeft" activeCell="A2" sqref="A2"/>
      <selection pane="topRight" activeCell="C1" sqref="C1"/>
    </sheetView>
  </sheetViews>
  <sheetFormatPr defaultRowHeight="15"/>
  <cols>
    <col min="1" max="2" width="22.140625" style="6" customWidth="1"/>
    <col min="3" max="3" width="33.28515625" customWidth="1"/>
    <col min="4" max="4" width="13.140625" customWidth="1"/>
    <col min="5" max="5" width="9.140625" customWidth="1"/>
    <col min="11" max="11" width="17.28515625" style="10" customWidth="1"/>
    <col min="12" max="12" width="19.28515625" style="7" customWidth="1"/>
    <col min="13" max="13" width="18.42578125" style="61" customWidth="1"/>
    <col min="14" max="14" width="17.7109375" customWidth="1"/>
    <col min="15" max="15" width="16" style="58" customWidth="1"/>
    <col min="16" max="16" width="19.140625" style="59" customWidth="1"/>
    <col min="17" max="18" width="12" bestFit="1" customWidth="1"/>
    <col min="21" max="21" width="12.140625" customWidth="1"/>
    <col min="22" max="22" width="22.140625" customWidth="1"/>
    <col min="23" max="24" width="20.140625" customWidth="1"/>
    <col min="25" max="25" width="11.7109375" customWidth="1"/>
    <col min="26" max="26" width="12.140625" customWidth="1"/>
    <col min="27" max="27" width="28.85546875" customWidth="1"/>
    <col min="28" max="28" width="27.140625" customWidth="1"/>
    <col min="31" max="31" width="21.7109375" customWidth="1"/>
    <col min="32" max="32" width="21.140625" customWidth="1"/>
    <col min="33" max="33" width="14.28515625" customWidth="1"/>
    <col min="34" max="34" width="14.42578125" customWidth="1"/>
    <col min="35" max="35" width="11.28515625" bestFit="1" customWidth="1"/>
    <col min="36" max="36" width="11.5703125" bestFit="1" customWidth="1"/>
    <col min="37" max="37" width="11.7109375" customWidth="1"/>
    <col min="38" max="38" width="20.85546875" customWidth="1"/>
    <col min="41" max="41" width="16.7109375" customWidth="1"/>
    <col min="42" max="42" width="15.7109375" customWidth="1"/>
    <col min="43" max="43" width="12.5703125" customWidth="1"/>
    <col min="44" max="44" width="15.5703125" customWidth="1"/>
    <col min="47" max="47" width="18.140625" customWidth="1"/>
    <col min="48" max="48" width="17.140625" customWidth="1"/>
    <col min="52" max="52" width="19.42578125" style="7" customWidth="1"/>
    <col min="53" max="53" width="16.140625" customWidth="1"/>
    <col min="56" max="56" width="18.85546875" style="6" customWidth="1"/>
    <col min="57" max="57" width="9.140625" style="6"/>
  </cols>
  <sheetData>
    <row r="1" spans="1:57" ht="75">
      <c r="A1" s="49" t="s">
        <v>857</v>
      </c>
      <c r="B1" s="49" t="s">
        <v>858</v>
      </c>
      <c r="C1" s="49" t="s">
        <v>859</v>
      </c>
      <c r="D1" s="49" t="s">
        <v>860</v>
      </c>
      <c r="E1" s="49" t="s">
        <v>861</v>
      </c>
      <c r="F1" s="49" t="s">
        <v>862</v>
      </c>
      <c r="G1" s="49" t="s">
        <v>863</v>
      </c>
      <c r="H1" s="49" t="s">
        <v>864</v>
      </c>
      <c r="I1" s="49" t="s">
        <v>865</v>
      </c>
      <c r="J1" s="49" t="s">
        <v>866</v>
      </c>
      <c r="K1" s="49" t="s">
        <v>867</v>
      </c>
      <c r="L1" s="49" t="s">
        <v>868</v>
      </c>
      <c r="M1" s="218" t="s">
        <v>1177</v>
      </c>
      <c r="N1" s="49" t="s">
        <v>1178</v>
      </c>
      <c r="O1" s="49" t="s">
        <v>1179</v>
      </c>
      <c r="P1" s="49" t="s">
        <v>1180</v>
      </c>
      <c r="Q1" s="49" t="s">
        <v>1181</v>
      </c>
      <c r="R1" s="49" t="s">
        <v>1182</v>
      </c>
      <c r="U1" s="50" t="s">
        <v>1183</v>
      </c>
      <c r="V1" s="49" t="s">
        <v>859</v>
      </c>
      <c r="W1" s="49" t="s">
        <v>860</v>
      </c>
      <c r="X1" s="49" t="s">
        <v>870</v>
      </c>
      <c r="Y1" s="49" t="s">
        <v>862</v>
      </c>
      <c r="Z1" s="49" t="s">
        <v>863</v>
      </c>
      <c r="AA1" s="49" t="s">
        <v>867</v>
      </c>
      <c r="AB1" s="49" t="s">
        <v>873</v>
      </c>
      <c r="AC1" s="49" t="s">
        <v>874</v>
      </c>
      <c r="AE1" s="50" t="s">
        <v>1184</v>
      </c>
      <c r="AF1" s="49" t="s">
        <v>859</v>
      </c>
      <c r="AG1" s="49" t="s">
        <v>860</v>
      </c>
      <c r="AH1" s="49" t="s">
        <v>870</v>
      </c>
      <c r="AI1" s="49" t="s">
        <v>871</v>
      </c>
      <c r="AJ1" s="49" t="s">
        <v>872</v>
      </c>
      <c r="AK1" s="49" t="s">
        <v>867</v>
      </c>
      <c r="AL1" s="49" t="s">
        <v>873</v>
      </c>
      <c r="AM1" s="49" t="s">
        <v>874</v>
      </c>
      <c r="AO1" s="201" t="s">
        <v>922</v>
      </c>
      <c r="AP1" s="49" t="s">
        <v>859</v>
      </c>
      <c r="AQ1" s="49" t="s">
        <v>860</v>
      </c>
      <c r="AR1" s="49" t="s">
        <v>870</v>
      </c>
      <c r="AS1" s="49" t="s">
        <v>871</v>
      </c>
      <c r="AT1" s="49" t="s">
        <v>872</v>
      </c>
      <c r="AU1" s="49" t="s">
        <v>867</v>
      </c>
      <c r="AV1" s="49" t="s">
        <v>873</v>
      </c>
      <c r="AZ1" s="7" t="str" cm="1">
        <f t="array" ref="AZ1:AZ24">_xlfn.UNIQUE(A2:A100)</f>
        <v>Out of Positive List Expenditure</v>
      </c>
      <c r="BA1" s="1" t="str" cm="1">
        <f t="array" ref="BA1">INDEX($AZ$1:$AZ$100,INT((ROW(A1)-1)/3)+1)</f>
        <v>Out of Positive List Expenditure</v>
      </c>
      <c r="BB1" s="1" t="str" cm="1">
        <f t="array" ref="BB1">INDEX({"OR","RRR","ME"},MOD(ROW(AB1)-1,3)+1)</f>
        <v>OR</v>
      </c>
      <c r="BD1" s="1" t="str" cm="1">
        <f t="array" ref="BD1">INDEX($AZ$1:$AZ$100,INT((ROW(A1)-1)/2)+1)</f>
        <v>Out of Positive List Expenditure</v>
      </c>
      <c r="BE1" s="6" t="str" cm="1">
        <f t="array" ref="BE1">INDEX({"OR / RRR";"ME"}, MOD(ROW(M1)-1, 2)+1)</f>
        <v>OR / RRR</v>
      </c>
    </row>
    <row r="2" spans="1:57" ht="45">
      <c r="A2" s="184" t="s">
        <v>1185</v>
      </c>
      <c r="B2" s="184" t="s">
        <v>1065</v>
      </c>
      <c r="C2" s="184" t="s">
        <v>1186</v>
      </c>
      <c r="D2" s="217" t="s">
        <v>879</v>
      </c>
      <c r="E2" s="217">
        <v>1.04</v>
      </c>
      <c r="F2" s="217">
        <v>0.92</v>
      </c>
      <c r="G2" s="217">
        <v>1.19</v>
      </c>
      <c r="H2" s="217"/>
      <c r="I2" s="217"/>
      <c r="J2" s="217">
        <v>0.54</v>
      </c>
      <c r="K2" s="217" t="s">
        <v>486</v>
      </c>
      <c r="L2" s="184" t="s">
        <v>1066</v>
      </c>
      <c r="M2" s="64"/>
      <c r="V2" s="44" t="str">
        <f>BA1</f>
        <v>Out of Positive List Expenditure</v>
      </c>
      <c r="W2" s="51" t="str">
        <f>BB1</f>
        <v>OR</v>
      </c>
      <c r="X2" s="51">
        <f>IF(Y2=Z2, IF(Y2=0, "NO DATA", ROUND(Y2, 2)), ROUND(Y2, 2) &amp; "-" &amp; ROUND(Z2, 2))</f>
        <v>1.04</v>
      </c>
      <c r="Y2" s="51">
        <f>IF(_xlfn.MINIFS(E:E,A:A,V2,D:D,W2)=0,"NA",_xlfn.MINIFS(E:E,A:A,V2,D:D,W2))</f>
        <v>1.04</v>
      </c>
      <c r="Z2" s="51">
        <f>IF(_xlfn.MAXIFS(E:E,A:A,V2,D:D,W2)=0,"NA",_xlfn.MAXIFS(E:E,A:A,V2,D:D,W2))</f>
        <v>1.04</v>
      </c>
      <c r="AA2" s="51" t="str" cm="1">
        <f t="array" ref="AA2">IFERROR(_xlfn.TEXTJOIN(", ", TRUE, _xlfn.UNIQUE(_xlfn._xlws.FILTER(K$2:K$100, (A$2:A$100 = V2) * (D$2:D$100 = W2)))), "")</f>
        <v>Hungary</v>
      </c>
      <c r="AB2" s="51" t="str" cm="1">
        <f t="array" ref="AB2">_xlfn.TEXTJOIN(", ", TRUE, _xlfn.UNIQUE(IF((A$2:A$100 = V2) * (D$2:D$100 = W2), L$2:L$100, "")))</f>
        <v>(Merész &amp; Gaál, 2023)</v>
      </c>
      <c r="AC2" s="51" t="str">
        <f>IF(OR(W2="OR", W2="RRR"), "OR / RRR", W2)</f>
        <v>OR / RRR</v>
      </c>
      <c r="AF2" s="44" t="str">
        <f>BA1</f>
        <v>Out of Positive List Expenditure</v>
      </c>
      <c r="AG2" s="51" t="str">
        <f>BB1</f>
        <v>OR</v>
      </c>
      <c r="AH2" s="194" t="e">
        <f>IF(AI2=AJ2, IF(AI2=0, "NO DATA", ROUND(AI2, 2)), ROUND(AI2, 2) &amp; "-" &amp; ROUND(AJ2, 2))</f>
        <v>#VALUE!</v>
      </c>
      <c r="AI2" s="51" t="str">
        <f>IF(_xlfn.MINIFS(E:E,A:A,AF2,D:D,AG2,J:J,"&lt;=0,050")=0,"NA",_xlfn.MINIFS(E:E,A:A,AF2,D:D,AG2,J:J,"&lt;=0,050"))</f>
        <v>NA</v>
      </c>
      <c r="AJ2" s="51" t="str">
        <f>IF(_xlfn.MAXIFS(E:E,A:A,AF2,D:D,AG2,J:J,"&lt;=0,050")=0,"NA",_xlfn.MAXIFS(E:E,A:A,AF2,D:D,AG2,J:J,"&lt;=0,050"))</f>
        <v>NA</v>
      </c>
      <c r="AK2" s="51" t="str" cm="1">
        <f t="array" ref="AK2">IFERROR(_xlfn.TEXTJOIN(", ", TRUE, _xlfn.UNIQUE(_xlfn._xlws.FILTER(K$2:K$100, (A$2:A$100 = AF2) * (D$2:D$100 = AG2) * (J$2:J$100 &lt;= 0.05)))), "")</f>
        <v/>
      </c>
      <c r="AL2" s="51" t="str" cm="1">
        <f t="array" ref="AL2">IFERROR(_xlfn.TEXTJOIN(", ", TRUE, _xlfn.UNIQUE(_xlfn._xlws.FILTER(L$2:L$100, (A$2:A$100 = AF2) * (D$2:D$100 = AG2) * (J$2:J$100 &lt;= 0.05)))), "")</f>
        <v/>
      </c>
      <c r="AM2" s="51" t="str">
        <f>IF(OR(AG2="OR", AG2="RRR"), "OR / RRR", AG2)</f>
        <v>OR / RRR</v>
      </c>
      <c r="AP2" s="44" t="str">
        <f>BD1</f>
        <v>Out of Positive List Expenditure</v>
      </c>
      <c r="AQ2" s="46" t="str">
        <f>BE1</f>
        <v>OR / RRR</v>
      </c>
      <c r="AR2" s="194" t="str">
        <f>IF(AS2=AT2, IF(AS2=0, "NO DATA", ROUND(AS2, 2)), ROUND(AS2, 2) &amp; "-" &amp; ROUND(AT2, 2))</f>
        <v>NO DATA</v>
      </c>
      <c r="AS2" s="200">
        <f>_xlfn.MINIFS(AI:AI, AF:AF, AP2, AM:AM, AQ2)</f>
        <v>0</v>
      </c>
      <c r="AT2" s="46">
        <f>_xlfn.MAXIFS(AJ:AJ, AF:AF, AP2, AM:AM, AQ2)</f>
        <v>0</v>
      </c>
      <c r="AU2" s="51" t="str" cm="1">
        <f t="array" ref="AU2">_xlfn.TEXTJOIN(", ", TRUE, _xlfn.UNIQUE(IF((AF$2:AF$100 = AP2) * (AM$2:AM$100 = AQ2), AK$2:AK$100, "")))</f>
        <v/>
      </c>
      <c r="AV2" s="51" t="str" cm="1">
        <f t="array" ref="AV2">_xlfn.TEXTJOIN(", ", TRUE, _xlfn.UNIQUE(IF((AF$2:AF$100 = AP2) * (AM$2:AM$100 = AQ2), AL$2:AL$100, "")))</f>
        <v/>
      </c>
      <c r="AZ2" s="7" t="str">
        <v>Intervention's Expenditure Impact (Threshold)</v>
      </c>
      <c r="BA2" s="1" t="str" cm="1">
        <f t="array" ref="BA2">INDEX($AZ$1:$AZ$100,INT((ROW(A2)-1)/3)+1)</f>
        <v>Out of Positive List Expenditure</v>
      </c>
      <c r="BB2" s="1" t="str" cm="1">
        <f t="array" ref="BB2">INDEX({"OR","RRR","ME"},MOD(ROW(AB2)-1,3)+1)</f>
        <v>RRR</v>
      </c>
      <c r="BD2" s="1" t="str" cm="1">
        <f t="array" ref="BD2">INDEX($AZ$1:$AZ$100,INT((ROW(A2)-1)/2)+1)</f>
        <v>Out of Positive List Expenditure</v>
      </c>
      <c r="BE2" s="6" t="str" cm="1">
        <f t="array" ref="BE2">INDEX({"OR / RRR";"ME"}, MOD(ROW(M2)-1, 2)+1)</f>
        <v>ME</v>
      </c>
    </row>
    <row r="3" spans="1:57" ht="45">
      <c r="A3" s="277" t="s">
        <v>1187</v>
      </c>
      <c r="B3" s="277" t="s">
        <v>907</v>
      </c>
      <c r="C3" s="286" t="s">
        <v>1188</v>
      </c>
      <c r="D3" s="286" t="s">
        <v>879</v>
      </c>
      <c r="E3" s="286">
        <v>0.15</v>
      </c>
      <c r="F3" s="286">
        <v>0.05</v>
      </c>
      <c r="G3" s="286">
        <v>0.47</v>
      </c>
      <c r="H3" s="286"/>
      <c r="I3" s="286"/>
      <c r="J3" s="286">
        <v>0.01</v>
      </c>
      <c r="K3" s="286" t="s">
        <v>365</v>
      </c>
      <c r="L3" s="276" t="s">
        <v>909</v>
      </c>
      <c r="M3" s="84">
        <v>10000000</v>
      </c>
      <c r="N3" s="85">
        <f>AVERAGE('LCU to Int$ per year'!D6:D16)</f>
        <v>1.3195508181818183</v>
      </c>
      <c r="O3" s="80">
        <v>10000000</v>
      </c>
      <c r="P3" s="81">
        <f>E3^(O3/(M3/N3))</f>
        <v>8.1810782533677934E-2</v>
      </c>
      <c r="Q3" s="82">
        <f>F3^(O3/(M3/N3))</f>
        <v>1.9196621621929661E-2</v>
      </c>
      <c r="R3" s="82">
        <f>G3^(O3/(M3/N3))</f>
        <v>0.3692465618335542</v>
      </c>
      <c r="S3" s="6"/>
      <c r="V3" s="44" t="str">
        <f t="shared" ref="V3:V39" si="0">BA2</f>
        <v>Out of Positive List Expenditure</v>
      </c>
      <c r="W3" s="51" t="str">
        <f t="shared" ref="W3:W39" si="1">BB2</f>
        <v>RRR</v>
      </c>
      <c r="X3" s="51" t="e">
        <f t="shared" ref="X3:X39" si="2">IF(Y3=Z3, IF(Y3=0, "NO DATA", ROUND(Y3, 2)), ROUND(Y3, 2) &amp; "-" &amp; ROUND(Z3, 2))</f>
        <v>#VALUE!</v>
      </c>
      <c r="Y3" s="51" t="str">
        <f t="shared" ref="Y3:Y39" si="3">IF(_xlfn.MINIFS(E:E,A:A,V3,D:D,W3)=0,"NA",_xlfn.MINIFS(E:E,A:A,V3,D:D,W3))</f>
        <v>NA</v>
      </c>
      <c r="Z3" s="51" t="str">
        <f t="shared" ref="Z3:Z39" si="4">IF(_xlfn.MAXIFS(E:E,A:A,V3,D:D,W3)=0,"NA",_xlfn.MAXIFS(E:E,A:A,V3,D:D,W3))</f>
        <v>NA</v>
      </c>
      <c r="AA3" s="51" t="str" cm="1">
        <f t="array" ref="AA3">IFERROR(_xlfn.TEXTJOIN(", ", TRUE, _xlfn.UNIQUE(_xlfn._xlws.FILTER(K$2:K$100, (A$2:A$100 = V3) * (D$2:D$100 = W3)))), "")</f>
        <v/>
      </c>
      <c r="AB3" s="51" t="str" cm="1">
        <f t="array" ref="AB3">_xlfn.TEXTJOIN(", ", TRUE, _xlfn.UNIQUE(IF((A$2:A$100 = V3) * (D$2:D$100 = W3), L$2:L$100, "")))</f>
        <v/>
      </c>
      <c r="AC3" s="51" t="str">
        <f t="shared" ref="AC3:AC66" si="5">IF(OR(W3="OR", W3="RRR"), "OR / RRR", W3)</f>
        <v>OR / RRR</v>
      </c>
      <c r="AF3" s="44" t="str">
        <f t="shared" ref="AF3:AF6" si="6">BA2</f>
        <v>Out of Positive List Expenditure</v>
      </c>
      <c r="AG3" s="51" t="str">
        <f t="shared" ref="AG3:AG6" si="7">BB2</f>
        <v>RRR</v>
      </c>
      <c r="AH3" s="194" t="e">
        <f t="shared" ref="AH3:AH6" si="8">IF(AI3=AJ3, IF(AI3=0, "NO DATA", ROUND(AI3, 2)), ROUND(AI3, 2) &amp; "-" &amp; ROUND(AJ3, 2))</f>
        <v>#VALUE!</v>
      </c>
      <c r="AI3" s="51" t="str">
        <f t="shared" ref="AI3:AI6" si="9">IF(_xlfn.MINIFS(E:E,A:A,AF3,D:D,AG3,J:J,"&lt;=0,050")=0,"NA",_xlfn.MINIFS(E:E,A:A,AF3,D:D,AG3,J:J,"&lt;=0,050"))</f>
        <v>NA</v>
      </c>
      <c r="AJ3" s="51" t="str">
        <f t="shared" ref="AJ3:AJ6" si="10">IF(_xlfn.MAXIFS(E:E,A:A,AF3,D:D,AG3,J:J,"&lt;=0,050")=0,"NA",_xlfn.MAXIFS(E:E,A:A,AF3,D:D,AG3,J:J,"&lt;=0,050"))</f>
        <v>NA</v>
      </c>
      <c r="AK3" s="51" t="str" cm="1">
        <f t="array" ref="AK3">IFERROR(_xlfn.TEXTJOIN(", ", TRUE, _xlfn.UNIQUE(_xlfn._xlws.FILTER(K$2:K$100, (A$2:A$100 = AF3) * (D$2:D$100 = AG3) * (J$2:J$100 &lt;= 0.05)))), "")</f>
        <v/>
      </c>
      <c r="AL3" s="51" t="str" cm="1">
        <f t="array" ref="AL3">IFERROR(_xlfn.TEXTJOIN(", ", TRUE, _xlfn.UNIQUE(_xlfn._xlws.FILTER(L$2:L$100, (A$2:A$100 = AF3) * (D$2:D$100 = AG3) * (J$2:J$100 &lt;= 0.05)))), "")</f>
        <v/>
      </c>
      <c r="AM3" s="51" t="str">
        <f t="shared" ref="AM3:AM6" si="11">IF(OR(AG3="OR", AG3="RRR"), "OR / RRR", AG3)</f>
        <v>OR / RRR</v>
      </c>
      <c r="AP3" s="44" t="str">
        <f t="shared" ref="AP3:AP13" si="12">BD2</f>
        <v>Out of Positive List Expenditure</v>
      </c>
      <c r="AQ3" s="46" t="str">
        <f t="shared" ref="AQ3:AQ13" si="13">BE2</f>
        <v>ME</v>
      </c>
      <c r="AR3" s="194" t="str">
        <f t="shared" ref="AR3:AR13" si="14">IF(AS3=AT3, IF(AS3=0, "NO DATA", ROUND(AS3, 2)), ROUND(AS3, 2) &amp; "-" &amp; ROUND(AT3, 2))</f>
        <v>NO DATA</v>
      </c>
      <c r="AS3" s="200">
        <f t="shared" ref="AS3:AS13" si="15">_xlfn.MINIFS(AI:AI, AF:AF, AP3, AM:AM, AQ3)</f>
        <v>0</v>
      </c>
      <c r="AT3" s="46">
        <f t="shared" ref="AT3:AT13" si="16">_xlfn.MAXIFS(AJ:AJ, AF:AF, AP3, AM:AM, AQ3)</f>
        <v>0</v>
      </c>
      <c r="AU3" s="51" t="str" cm="1">
        <f t="array" ref="AU3">_xlfn.TEXTJOIN(", ", TRUE, _xlfn.UNIQUE(IF((AF$2:AF$100 = AP3) * (AM$2:AM$100 = AQ3), AK$2:AK$100, "")))</f>
        <v/>
      </c>
      <c r="AV3" s="51" t="str" cm="1">
        <f t="array" ref="AV3">_xlfn.TEXTJOIN(", ", TRUE, _xlfn.UNIQUE(IF((AF$2:AF$100 = AP3) * (AM$2:AM$100 = AQ3), AL$2:AL$100, "")))</f>
        <v/>
      </c>
      <c r="AZ3" s="7" t="str">
        <v>Intervention's Expenditure Impact</v>
      </c>
      <c r="BA3" s="1" t="str" cm="1">
        <f t="array" ref="BA3">INDEX($AZ$1:$AZ$100,INT((ROW(A3)-1)/3)+1)</f>
        <v>Out of Positive List Expenditure</v>
      </c>
      <c r="BB3" s="1" t="str" cm="1">
        <f t="array" ref="BB3">INDEX({"OR","RRR","ME"},MOD(ROW(AB3)-1,3)+1)</f>
        <v>ME</v>
      </c>
      <c r="BD3" s="1" t="str" cm="1">
        <f t="array" ref="BD3">INDEX($AZ$1:$AZ$100,INT((ROW(A3)-1)/2)+1)</f>
        <v>Intervention's Expenditure Impact (Threshold)</v>
      </c>
      <c r="BE3" s="6" t="str" cm="1">
        <f t="array" ref="BE3">INDEX({"OR / RRR";"ME"}, MOD(ROW(M3)-1, 2)+1)</f>
        <v>OR / RRR</v>
      </c>
    </row>
    <row r="4" spans="1:57" ht="60">
      <c r="A4" s="171" t="s">
        <v>1189</v>
      </c>
      <c r="B4" s="171" t="s">
        <v>903</v>
      </c>
      <c r="C4" s="171" t="s">
        <v>1190</v>
      </c>
      <c r="D4" s="170" t="s">
        <v>879</v>
      </c>
      <c r="E4" s="172">
        <v>1.0269999999999999</v>
      </c>
      <c r="F4" s="172">
        <v>0.96899999999999997</v>
      </c>
      <c r="G4" s="172">
        <v>1.089</v>
      </c>
      <c r="H4" s="172"/>
      <c r="I4" s="172"/>
      <c r="J4" s="171" t="s">
        <v>886</v>
      </c>
      <c r="K4" s="171" t="s">
        <v>182</v>
      </c>
      <c r="L4" s="173" t="s">
        <v>905</v>
      </c>
      <c r="M4" s="83">
        <v>1000000000</v>
      </c>
      <c r="N4" s="82">
        <f>AVERAGE('LCU to Int$ per year'!F19:F28)</f>
        <v>839.19415550000008</v>
      </c>
      <c r="O4" s="80">
        <v>10000000</v>
      </c>
      <c r="P4" s="81">
        <f>E4^(O4/(M4/N4))</f>
        <v>1.2505425878521919</v>
      </c>
      <c r="Q4" s="82">
        <f>F4^(O4/(M4/N4))</f>
        <v>0.76776787488869302</v>
      </c>
      <c r="R4" s="82">
        <f>G4^(O4/(M4/N4))</f>
        <v>2.0452000883526895</v>
      </c>
      <c r="V4" s="44" t="str">
        <f t="shared" si="0"/>
        <v>Out of Positive List Expenditure</v>
      </c>
      <c r="W4" s="51" t="str">
        <f t="shared" si="1"/>
        <v>ME</v>
      </c>
      <c r="X4" s="51" t="e">
        <f t="shared" si="2"/>
        <v>#VALUE!</v>
      </c>
      <c r="Y4" s="51" t="str">
        <f t="shared" si="3"/>
        <v>NA</v>
      </c>
      <c r="Z4" s="51" t="str">
        <f t="shared" si="4"/>
        <v>NA</v>
      </c>
      <c r="AA4" s="51" t="str" cm="1">
        <f t="array" ref="AA4">IFERROR(_xlfn.TEXTJOIN(", ", TRUE, _xlfn.UNIQUE(_xlfn._xlws.FILTER(K$2:K$100, (A$2:A$100 = V4) * (D$2:D$100 = W4)))), "")</f>
        <v/>
      </c>
      <c r="AB4" s="51" t="str" cm="1">
        <f t="array" ref="AB4">_xlfn.TEXTJOIN(", ", TRUE, _xlfn.UNIQUE(IF((A$2:A$100 = V4) * (D$2:D$100 = W4), L$2:L$100, "")))</f>
        <v/>
      </c>
      <c r="AC4" s="51" t="str">
        <f t="shared" si="5"/>
        <v>ME</v>
      </c>
      <c r="AF4" s="44" t="str">
        <f t="shared" si="6"/>
        <v>Out of Positive List Expenditure</v>
      </c>
      <c r="AG4" s="51" t="str">
        <f t="shared" si="7"/>
        <v>ME</v>
      </c>
      <c r="AH4" s="194" t="e">
        <f t="shared" si="8"/>
        <v>#VALUE!</v>
      </c>
      <c r="AI4" s="51" t="str">
        <f t="shared" si="9"/>
        <v>NA</v>
      </c>
      <c r="AJ4" s="51" t="str">
        <f t="shared" si="10"/>
        <v>NA</v>
      </c>
      <c r="AK4" s="51" t="str" cm="1">
        <f t="array" ref="AK4">IFERROR(_xlfn.TEXTJOIN(", ", TRUE, _xlfn.UNIQUE(_xlfn._xlws.FILTER(K$2:K$100, (A$2:A$100 = AF4) * (D$2:D$100 = AG4) * (J$2:J$100 &lt;= 0.05)))), "")</f>
        <v/>
      </c>
      <c r="AL4" s="51" t="str" cm="1">
        <f t="array" ref="AL4">IFERROR(_xlfn.TEXTJOIN(", ", TRUE, _xlfn.UNIQUE(_xlfn._xlws.FILTER(L$2:L$100, (A$2:A$100 = AF4) * (D$2:D$100 = AG4) * (J$2:J$100 &lt;= 0.05)))), "")</f>
        <v/>
      </c>
      <c r="AM4" s="51" t="str">
        <f t="shared" si="11"/>
        <v>ME</v>
      </c>
      <c r="AP4" s="44" t="str">
        <f t="shared" si="12"/>
        <v>Intervention's Expenditure Impact (Threshold)</v>
      </c>
      <c r="AQ4" s="46" t="str">
        <f t="shared" si="13"/>
        <v>OR / RRR</v>
      </c>
      <c r="AR4" s="194" t="str">
        <f t="shared" si="14"/>
        <v>0,15-0,47</v>
      </c>
      <c r="AS4" s="200">
        <f t="shared" si="15"/>
        <v>0.15</v>
      </c>
      <c r="AT4" s="46">
        <f t="shared" si="16"/>
        <v>0.47</v>
      </c>
      <c r="AU4" s="51" t="str" cm="1">
        <f t="array" ref="AU4">_xlfn.TEXTJOIN(", ", TRUE, _xlfn.UNIQUE(IF((AF$2:AF$100 = AP4) * (AM$2:AM$100 = AQ4), AK$2:AK$100, "")))</f>
        <v>Australia</v>
      </c>
      <c r="AV4" s="51" t="str" cm="1">
        <f t="array" ref="AV4">_xlfn.TEXTJOIN(", ", TRUE, _xlfn.UNIQUE(IF((AF$2:AF$100 = AP4) * (AM$2:AM$100 = AQ4), AL$2:AL$100, "")))</f>
        <v>(A. Harris et al., 2016), (Karikios et al., 2017), (Chim et al., 2010)</v>
      </c>
      <c r="AZ4" s="7" t="str">
        <v>Budget Impact</v>
      </c>
      <c r="BA4" s="1" t="str" cm="1">
        <f t="array" ref="BA4">INDEX($AZ$1:$AZ$100,INT((ROW(A4)-1)/3)+1)</f>
        <v>Intervention's Expenditure Impact (Threshold)</v>
      </c>
      <c r="BB4" s="1" t="str" cm="1">
        <f t="array" ref="BB4">INDEX({"OR","RRR","ME"},MOD(ROW(AB4)-1,3)+1)</f>
        <v>OR</v>
      </c>
      <c r="BD4" s="1" t="str" cm="1">
        <f t="array" ref="BD4">INDEX($AZ$1:$AZ$100,INT((ROW(A4)-1)/2)+1)</f>
        <v>Intervention's Expenditure Impact (Threshold)</v>
      </c>
      <c r="BE4" s="6" t="str" cm="1">
        <f t="array" ref="BE4">INDEX({"OR / RRR";"ME"}, MOD(ROW(M4)-1, 2)+1)</f>
        <v>ME</v>
      </c>
    </row>
    <row r="5" spans="1:57" ht="60">
      <c r="A5" s="171" t="s">
        <v>1189</v>
      </c>
      <c r="B5" s="171" t="s">
        <v>949</v>
      </c>
      <c r="C5" s="171" t="s">
        <v>1191</v>
      </c>
      <c r="D5" s="170" t="s">
        <v>891</v>
      </c>
      <c r="E5" s="174">
        <f>1/EXP(0.0047)</f>
        <v>0.99531102771647961</v>
      </c>
      <c r="F5" s="172">
        <f>1/(EXP(0.0012))</f>
        <v>0.99880071971208639</v>
      </c>
      <c r="G5" s="172">
        <f>1/(EXP(-0.0028))</f>
        <v>1.0028039236612292</v>
      </c>
      <c r="H5" s="172"/>
      <c r="I5" s="172"/>
      <c r="J5" s="171">
        <v>0.217</v>
      </c>
      <c r="K5" s="171" t="s">
        <v>152</v>
      </c>
      <c r="L5" s="173" t="s">
        <v>950</v>
      </c>
      <c r="M5" s="83">
        <v>1000000</v>
      </c>
      <c r="N5" s="82">
        <f>AVERAGE('LCU to Int$ per year'!G16:G21)</f>
        <v>0.87216249999999995</v>
      </c>
      <c r="O5" s="80">
        <v>10000000</v>
      </c>
      <c r="P5" s="81">
        <f>E5^(O5/(M5/N5))</f>
        <v>0.9598371565524596</v>
      </c>
      <c r="Q5" s="82">
        <f>F5^(O5/(M5/N5))</f>
        <v>0.98958862748700605</v>
      </c>
      <c r="R5" s="82">
        <f>G5^(O5/(M5/N5))</f>
        <v>1.0247211737756814</v>
      </c>
      <c r="V5" s="44" t="str">
        <f t="shared" si="0"/>
        <v>Intervention's Expenditure Impact (Threshold)</v>
      </c>
      <c r="W5" s="51" t="str">
        <f t="shared" si="1"/>
        <v>OR</v>
      </c>
      <c r="X5" s="51" t="str">
        <f t="shared" si="2"/>
        <v>0,15-1,22</v>
      </c>
      <c r="Y5" s="51">
        <f t="shared" si="3"/>
        <v>0.15</v>
      </c>
      <c r="Z5" s="51">
        <f t="shared" si="4"/>
        <v>1.2170000000000001</v>
      </c>
      <c r="AA5" s="51" t="str" cm="1">
        <f t="array" ref="AA5">IFERROR(_xlfn.TEXTJOIN(", ", TRUE, _xlfn.UNIQUE(_xlfn._xlws.FILTER(K$2:K$100, (A$2:A$100 = V5) * (D$2:D$100 = W5)))), "")</f>
        <v>Australia</v>
      </c>
      <c r="AB5" s="51" t="str" cm="1">
        <f t="array" ref="AB5">_xlfn.TEXTJOIN(", ", TRUE, _xlfn.UNIQUE(IF((A$2:A$100 = V5) * (D$2:D$100 = W5), L$2:L$100, "")))</f>
        <v>(A. Harris et al., 2016), (Hill et al., 2022), (Karikios et al., 2017), (Chim et al., 2010), (Haque et al., 2023)</v>
      </c>
      <c r="AC5" s="51" t="str">
        <f t="shared" si="5"/>
        <v>OR / RRR</v>
      </c>
      <c r="AF5" s="44" t="str">
        <f t="shared" si="6"/>
        <v>Intervention's Expenditure Impact (Threshold)</v>
      </c>
      <c r="AG5" s="51" t="str">
        <f t="shared" si="7"/>
        <v>OR</v>
      </c>
      <c r="AH5" s="194" t="str">
        <f t="shared" si="8"/>
        <v>0,15-0,47</v>
      </c>
      <c r="AI5" s="51">
        <f t="shared" si="9"/>
        <v>0.15</v>
      </c>
      <c r="AJ5" s="51">
        <f t="shared" si="10"/>
        <v>0.47</v>
      </c>
      <c r="AK5" s="51" t="str" cm="1">
        <f t="array" ref="AK5">IFERROR(_xlfn.TEXTJOIN(", ", TRUE, _xlfn.UNIQUE(_xlfn._xlws.FILTER(K$2:K$100, (A$2:A$100 = AF5) * (D$2:D$100 = AG5) * (J$2:J$100 &lt;= 0.05)))), "")</f>
        <v>Australia</v>
      </c>
      <c r="AL5" s="51" t="str" cm="1">
        <f t="array" ref="AL5">IFERROR(_xlfn.TEXTJOIN(", ", TRUE, _xlfn.UNIQUE(_xlfn._xlws.FILTER(L$2:L$100, (A$2:A$100 = AF5) * (D$2:D$100 = AG5) * (J$2:J$100 &lt;= 0.05)))), "")</f>
        <v>(A. Harris et al., 2016), (Karikios et al., 2017), (Chim et al., 2010)</v>
      </c>
      <c r="AM5" s="51" t="str">
        <f t="shared" si="11"/>
        <v>OR / RRR</v>
      </c>
      <c r="AP5" s="44" t="str">
        <f t="shared" si="12"/>
        <v>Intervention's Expenditure Impact (Threshold)</v>
      </c>
      <c r="AQ5" s="46" t="str">
        <f t="shared" si="13"/>
        <v>ME</v>
      </c>
      <c r="AR5" s="194" t="str">
        <f t="shared" si="14"/>
        <v>NO DATA</v>
      </c>
      <c r="AS5" s="200">
        <f t="shared" si="15"/>
        <v>0</v>
      </c>
      <c r="AT5" s="46">
        <f t="shared" si="16"/>
        <v>0</v>
      </c>
      <c r="AU5" s="51" t="str" cm="1">
        <f t="array" ref="AU5">_xlfn.TEXTJOIN(", ", TRUE, _xlfn.UNIQUE(IF((AF$2:AF$100 = AP5) * (AM$2:AM$100 = AQ5), AK$2:AK$100, "")))</f>
        <v/>
      </c>
      <c r="AV5" s="51" t="str" cm="1">
        <f t="array" ref="AV5">_xlfn.TEXTJOIN(", ", TRUE, _xlfn.UNIQUE(IF((AF$2:AF$100 = AP5) * (AM$2:AM$100 = AQ5), AL$2:AL$100, "")))</f>
        <v/>
      </c>
      <c r="AZ5" s="7" t="str">
        <v>Acceptable Cost-Effectiveness</v>
      </c>
      <c r="BA5" s="1" t="str" cm="1">
        <f t="array" ref="BA5">INDEX($AZ$1:$AZ$100,INT((ROW(A5)-1)/3)+1)</f>
        <v>Intervention's Expenditure Impact (Threshold)</v>
      </c>
      <c r="BB5" s="1" t="str" cm="1">
        <f t="array" ref="BB5">INDEX({"OR","RRR","ME"},MOD(ROW(AB5)-1,3)+1)</f>
        <v>RRR</v>
      </c>
      <c r="BD5" s="1" t="str" cm="1">
        <f t="array" ref="BD5">INDEX($AZ$1:$AZ$100,INT((ROW(A5)-1)/2)+1)</f>
        <v>Intervention's Expenditure Impact</v>
      </c>
      <c r="BE5" s="6" t="str" cm="1">
        <f t="array" ref="BE5">INDEX({"OR / RRR";"ME"}, MOD(ROW(M5)-1, 2)+1)</f>
        <v>OR / RRR</v>
      </c>
    </row>
    <row r="6" spans="1:57" ht="60">
      <c r="A6" s="171" t="s">
        <v>1189</v>
      </c>
      <c r="B6" s="171" t="s">
        <v>878</v>
      </c>
      <c r="C6" s="171" t="s">
        <v>1192</v>
      </c>
      <c r="D6" s="170" t="s">
        <v>879</v>
      </c>
      <c r="E6" s="172">
        <v>0.99099999999999999</v>
      </c>
      <c r="F6" s="172">
        <v>0.99760000000000004</v>
      </c>
      <c r="G6" s="172">
        <v>1.0005999999999999</v>
      </c>
      <c r="H6" s="172"/>
      <c r="I6" s="172"/>
      <c r="J6" s="171">
        <v>0.26550000000000001</v>
      </c>
      <c r="K6" s="171" t="s">
        <v>880</v>
      </c>
      <c r="L6" s="173" t="s">
        <v>881</v>
      </c>
      <c r="M6" s="83">
        <v>1000</v>
      </c>
      <c r="N6" s="82">
        <f>AVERAGE('LCU to Int$ per year'!B19:B21)</f>
        <v>0.70695399999999997</v>
      </c>
      <c r="O6" s="80">
        <v>10000000</v>
      </c>
      <c r="P6" s="81">
        <f>E6^(O6/(M6/N6))</f>
        <v>1.7480076535403569E-28</v>
      </c>
      <c r="Q6" s="82">
        <f>F6^(O6/(M6/N6))</f>
        <v>4.1928967082826029E-8</v>
      </c>
      <c r="R6" s="82">
        <f>G6^(O6/(M6/N6))</f>
        <v>69.439230694151561</v>
      </c>
      <c r="V6" s="44" t="str">
        <f t="shared" si="0"/>
        <v>Intervention's Expenditure Impact (Threshold)</v>
      </c>
      <c r="W6" s="51" t="str">
        <f t="shared" si="1"/>
        <v>RRR</v>
      </c>
      <c r="X6" s="51" t="e">
        <f t="shared" si="2"/>
        <v>#VALUE!</v>
      </c>
      <c r="Y6" s="51" t="str">
        <f t="shared" si="3"/>
        <v>NA</v>
      </c>
      <c r="Z6" s="51" t="str">
        <f t="shared" si="4"/>
        <v>NA</v>
      </c>
      <c r="AA6" s="51" t="str" cm="1">
        <f t="array" ref="AA6">IFERROR(_xlfn.TEXTJOIN(", ", TRUE, _xlfn.UNIQUE(_xlfn._xlws.FILTER(K$2:K$100, (A$2:A$100 = V6) * (D$2:D$100 = W6)))), "")</f>
        <v/>
      </c>
      <c r="AB6" s="51" t="str" cm="1">
        <f t="array" ref="AB6">_xlfn.TEXTJOIN(", ", TRUE, _xlfn.UNIQUE(IF((A$2:A$100 = V6) * (D$2:D$100 = W6), L$2:L$100, "")))</f>
        <v/>
      </c>
      <c r="AC6" s="51" t="str">
        <f t="shared" si="5"/>
        <v>OR / RRR</v>
      </c>
      <c r="AF6" s="44" t="str">
        <f t="shared" si="6"/>
        <v>Intervention's Expenditure Impact (Threshold)</v>
      </c>
      <c r="AG6" s="51" t="str">
        <f t="shared" si="7"/>
        <v>RRR</v>
      </c>
      <c r="AH6" s="194" t="e">
        <f t="shared" si="8"/>
        <v>#VALUE!</v>
      </c>
      <c r="AI6" s="51" t="str">
        <f t="shared" si="9"/>
        <v>NA</v>
      </c>
      <c r="AJ6" s="51" t="str">
        <f t="shared" si="10"/>
        <v>NA</v>
      </c>
      <c r="AK6" s="51" t="str" cm="1">
        <f t="array" ref="AK6">IFERROR(_xlfn.TEXTJOIN(", ", TRUE, _xlfn.UNIQUE(_xlfn._xlws.FILTER(K$2:K$100, (A$2:A$100 = AF6) * (D$2:D$100 = AG6) * (J$2:J$100 &lt;= 0.05)))), "")</f>
        <v/>
      </c>
      <c r="AL6" s="51" t="str" cm="1">
        <f t="array" ref="AL6">IFERROR(_xlfn.TEXTJOIN(", ", TRUE, _xlfn.UNIQUE(_xlfn._xlws.FILTER(L$2:L$100, (A$2:A$100 = AF6) * (D$2:D$100 = AG6) * (J$2:J$100 &lt;= 0.05)))), "")</f>
        <v/>
      </c>
      <c r="AM6" s="51" t="str">
        <f t="shared" si="11"/>
        <v>OR / RRR</v>
      </c>
      <c r="AP6" s="44" t="str">
        <f t="shared" si="12"/>
        <v>Intervention's Expenditure Impact</v>
      </c>
      <c r="AQ6" s="46" t="str">
        <f t="shared" si="13"/>
        <v>OR / RRR</v>
      </c>
      <c r="AR6" s="194" t="str">
        <f t="shared" si="14"/>
        <v>0-1,25</v>
      </c>
      <c r="AS6" s="200">
        <f t="shared" si="15"/>
        <v>1.7480076535403569E-28</v>
      </c>
      <c r="AT6" s="46">
        <f t="shared" si="16"/>
        <v>1.2505425878521919</v>
      </c>
      <c r="AU6" s="51" t="str" cm="1">
        <f t="array" ref="AU6">_xlfn.TEXTJOIN(", ", TRUE, _xlfn.UNIQUE(IF((AF$2:AF$100 = AP6) * (AM$2:AM$100 = AQ6), AK$2:AK$100, "")))</f>
        <v>UK</v>
      </c>
      <c r="AV6" s="51" t="str" cm="1">
        <f t="array" ref="AV6">_xlfn.TEXTJOIN(", ", TRUE, _xlfn.UNIQUE(IF((AF$2:AF$100 = AP6) * (AM$2:AM$100 = AQ6), AL$2:AL$100, "")))</f>
        <v>(Mauskopf et al., 2013)</v>
      </c>
      <c r="AZ6" s="7" t="str">
        <v>Zero / Negative Budget Impact</v>
      </c>
      <c r="BA6" s="1" t="str" cm="1">
        <f t="array" ref="BA6">INDEX($AZ$1:$AZ$100,INT((ROW(A6)-1)/3)+1)</f>
        <v>Intervention's Expenditure Impact (Threshold)</v>
      </c>
      <c r="BB6" s="1" t="str" cm="1">
        <f t="array" ref="BB6">INDEX({"OR","RRR","ME"},MOD(ROW(AB6)-1,3)+1)</f>
        <v>ME</v>
      </c>
      <c r="BD6" s="1" t="str" cm="1">
        <f t="array" ref="BD6">INDEX($AZ$1:$AZ$100,INT((ROW(A6)-1)/2)+1)</f>
        <v>Intervention's Expenditure Impact</v>
      </c>
      <c r="BE6" s="6" t="str" cm="1">
        <f t="array" ref="BE6">INDEX({"OR / RRR";"ME"}, MOD(ROW(M6)-1, 2)+1)</f>
        <v>ME</v>
      </c>
    </row>
    <row r="7" spans="1:57" ht="45">
      <c r="A7" s="171" t="s">
        <v>1189</v>
      </c>
      <c r="B7" s="173" t="s">
        <v>914</v>
      </c>
      <c r="C7" s="171" t="s">
        <v>1192</v>
      </c>
      <c r="D7" s="170" t="s">
        <v>891</v>
      </c>
      <c r="E7" s="172">
        <f>1/EXP(0.0000000039)</f>
        <v>0.9999999960999999</v>
      </c>
      <c r="F7" s="172">
        <f>1/EXP(0.0000000085)</f>
        <v>0.99999999150000007</v>
      </c>
      <c r="G7" s="172">
        <f>1/EXP(-0.000000000719)</f>
        <v>1.000000000719</v>
      </c>
      <c r="H7" s="172"/>
      <c r="I7" s="172"/>
      <c r="J7" s="171">
        <v>9.8000000000000004E-2</v>
      </c>
      <c r="K7" s="171" t="s">
        <v>840</v>
      </c>
      <c r="L7" s="173" t="s">
        <v>916</v>
      </c>
      <c r="M7" s="83">
        <v>1</v>
      </c>
      <c r="N7" s="82">
        <f>AVERAGE('LCU to Int$ per year'!B12:B15)</f>
        <v>0.69617899999999999</v>
      </c>
      <c r="O7" s="80">
        <v>10000000</v>
      </c>
      <c r="P7" s="81">
        <f>E7^(O7/(M7/N7))</f>
        <v>0.97321429285223304</v>
      </c>
      <c r="Q7" s="82">
        <f>F7^(O7/(M7/N7))</f>
        <v>0.94254160769309958</v>
      </c>
      <c r="R7" s="82">
        <f>G7^(O7/(M7/N7))</f>
        <v>1.0050180753705484</v>
      </c>
      <c r="V7" s="44" t="str">
        <f t="shared" si="0"/>
        <v>Intervention's Expenditure Impact (Threshold)</v>
      </c>
      <c r="W7" s="51" t="str">
        <f t="shared" si="1"/>
        <v>ME</v>
      </c>
      <c r="X7" s="51" t="e">
        <f t="shared" si="2"/>
        <v>#VALUE!</v>
      </c>
      <c r="Y7" s="51" t="str">
        <f t="shared" si="3"/>
        <v>NA</v>
      </c>
      <c r="Z7" s="51" t="str">
        <f t="shared" si="4"/>
        <v>NA</v>
      </c>
      <c r="AA7" s="51" t="str" cm="1">
        <f t="array" ref="AA7">IFERROR(_xlfn.TEXTJOIN(", ", TRUE, _xlfn.UNIQUE(_xlfn._xlws.FILTER(K$2:K$100, (A$2:A$100 = V7) * (D$2:D$100 = W7)))), "")</f>
        <v/>
      </c>
      <c r="AB7" s="51" t="str" cm="1">
        <f t="array" ref="AB7">_xlfn.TEXTJOIN(", ", TRUE, _xlfn.UNIQUE(IF((A$2:A$100 = V7) * (D$2:D$100 = W7), L$2:L$100, "")))</f>
        <v/>
      </c>
      <c r="AC7" s="51" t="str">
        <f t="shared" si="5"/>
        <v>ME</v>
      </c>
      <c r="AF7" s="44" t="str">
        <f t="shared" ref="AF7:AF67" si="17">BA6</f>
        <v>Intervention's Expenditure Impact (Threshold)</v>
      </c>
      <c r="AG7" s="51" t="str">
        <f t="shared" ref="AG7:AG67" si="18">BB6</f>
        <v>ME</v>
      </c>
      <c r="AH7" s="194" t="e">
        <f t="shared" ref="AH7:AH67" si="19">IF(AI7=AJ7, IF(AI7=0, "NO DATA", ROUND(AI7, 2)), ROUND(AI7, 2) &amp; "-" &amp; ROUND(AJ7, 2))</f>
        <v>#VALUE!</v>
      </c>
      <c r="AI7" s="51" t="str">
        <f t="shared" ref="AI7:AI67" si="20">IF(_xlfn.MINIFS(E:E,A:A,AF7,D:D,AG7,J:J,"&lt;=0,050")=0,"NA",_xlfn.MINIFS(E:E,A:A,AF7,D:D,AG7,J:J,"&lt;=0,050"))</f>
        <v>NA</v>
      </c>
      <c r="AJ7" s="51" t="str">
        <f t="shared" ref="AJ7:AJ67" si="21">IF(_xlfn.MAXIFS(E:E,A:A,AF7,D:D,AG7,J:J,"&lt;=0,050")=0,"NA",_xlfn.MAXIFS(E:E,A:A,AF7,D:D,AG7,J:J,"&lt;=0,050"))</f>
        <v>NA</v>
      </c>
      <c r="AK7" s="51" t="str" cm="1">
        <f t="array" ref="AK7">IFERROR(_xlfn.TEXTJOIN(", ", TRUE, _xlfn.UNIQUE(_xlfn._xlws.FILTER(K$2:K$100, (A$2:A$100 = AF7) * (D$2:D$100 = AG7) * (J$2:J$100 &lt;= 0.05)))), "")</f>
        <v/>
      </c>
      <c r="AL7" s="51" t="str" cm="1">
        <f t="array" ref="AL7">IFERROR(_xlfn.TEXTJOIN(", ", TRUE, _xlfn.UNIQUE(_xlfn._xlws.FILTER(L$2:L$100, (A$2:A$100 = AF7) * (D$2:D$100 = AG7) * (J$2:J$100 &lt;= 0.05)))), "")</f>
        <v/>
      </c>
      <c r="AM7" s="51" t="str">
        <f t="shared" ref="AM7:AM67" si="22">IF(OR(AG7="OR", AG7="RRR"), "OR / RRR", AG7)</f>
        <v>ME</v>
      </c>
      <c r="AP7" s="44" t="str">
        <f t="shared" si="12"/>
        <v>Intervention's Expenditure Impact</v>
      </c>
      <c r="AQ7" s="46" t="str">
        <f t="shared" si="13"/>
        <v>ME</v>
      </c>
      <c r="AR7" s="194" t="str">
        <f t="shared" si="14"/>
        <v>NO DATA</v>
      </c>
      <c r="AS7" s="200">
        <f t="shared" si="15"/>
        <v>0</v>
      </c>
      <c r="AT7" s="46">
        <f t="shared" si="16"/>
        <v>0</v>
      </c>
      <c r="AU7" s="51" t="str" cm="1">
        <f t="array" ref="AU7">_xlfn.TEXTJOIN(", ", TRUE, _xlfn.UNIQUE(IF((AF$2:AF$100 = AP7) * (AM$2:AM$100 = AQ7), AK$2:AK$100, "")))</f>
        <v/>
      </c>
      <c r="AV7" s="51" t="str" cm="1">
        <f t="array" ref="AV7">_xlfn.TEXTJOIN(", ", TRUE, _xlfn.UNIQUE(IF((AF$2:AF$100 = AP7) * (AM$2:AM$100 = AQ7), AL$2:AL$100, "")))</f>
        <v/>
      </c>
      <c r="AZ7" s="7" t="str">
        <v>Cost of Therapy Acceptable</v>
      </c>
      <c r="BA7" s="1" t="str" cm="1">
        <f t="array" ref="BA7">INDEX($AZ$1:$AZ$100,INT((ROW(A7)-1)/3)+1)</f>
        <v>Intervention's Expenditure Impact</v>
      </c>
      <c r="BB7" s="1" t="str" cm="1">
        <f t="array" ref="BB7">INDEX({"OR","RRR","ME"},MOD(ROW(AB7)-1,3)+1)</f>
        <v>OR</v>
      </c>
      <c r="BD7" s="1" t="str" cm="1">
        <f t="array" ref="BD7">INDEX($AZ$1:$AZ$100,INT((ROW(A7)-1)/2)+1)</f>
        <v>Budget Impact</v>
      </c>
      <c r="BE7" s="6" t="str" cm="1">
        <f t="array" ref="BE7">INDEX({"OR / RRR";"ME"}, MOD(ROW(M7)-1, 2)+1)</f>
        <v>OR / RRR</v>
      </c>
    </row>
    <row r="8" spans="1:57" ht="45">
      <c r="A8" s="171" t="s">
        <v>1187</v>
      </c>
      <c r="B8" s="171" t="s">
        <v>885</v>
      </c>
      <c r="C8" s="169" t="s">
        <v>1193</v>
      </c>
      <c r="D8" s="170" t="s">
        <v>879</v>
      </c>
      <c r="E8" s="172">
        <v>1.2170000000000001</v>
      </c>
      <c r="F8" s="172">
        <v>0.27800000000000002</v>
      </c>
      <c r="G8" s="172">
        <v>5.3330000000000002</v>
      </c>
      <c r="H8" s="172"/>
      <c r="I8" s="172"/>
      <c r="J8" s="171" t="s">
        <v>886</v>
      </c>
      <c r="K8" s="171" t="s">
        <v>365</v>
      </c>
      <c r="L8" s="173" t="s">
        <v>1136</v>
      </c>
      <c r="M8" s="62"/>
      <c r="V8" s="100" t="str">
        <f t="shared" si="0"/>
        <v>Intervention's Expenditure Impact</v>
      </c>
      <c r="W8" s="51" t="str">
        <f t="shared" si="1"/>
        <v>OR</v>
      </c>
      <c r="X8" s="51" t="str">
        <f t="shared" si="2"/>
        <v>0-1,25</v>
      </c>
      <c r="Y8" s="51">
        <f>IF(_xlfn.MINIFS(P:P,A:A,V8,D:D,W8)=0,"NA",_xlfn.MINIFS(P:P,A:A,V8,D:D,W8))</f>
        <v>1.7480076535403569E-28</v>
      </c>
      <c r="Z8" s="51">
        <f>IF(_xlfn.MAXIFS(P:P,A:A,V8,D:D,W8)=0,"NA",_xlfn.MAXIFS(P:P,A:A,V8,D:D,W8))</f>
        <v>1.2505425878521919</v>
      </c>
      <c r="AA8" s="51" t="str" cm="1">
        <f t="array" ref="AA8">IFERROR(_xlfn.TEXTJOIN(", ", TRUE, _xlfn.UNIQUE(_xlfn._xlws.FILTER(K$2:K$100, (A$2:A$100 = V8) * (D$2:D$100 = W8)))), "")</f>
        <v>South Korea, Wales (UK), UK</v>
      </c>
      <c r="AB8" s="51" t="str" cm="1">
        <f t="array" ref="AB8">_xlfn.TEXTJOIN(", ", TRUE, _xlfn.UNIQUE(IF((A$2:A$100 = V8) * (D$2:D$100 = W8), L$2:L$100, "")))</f>
        <v>(Bae et al., 2018), (Linley &amp; Hughes, 2012), (Mauskopf et al., 2013), (Park et al., 2012)</v>
      </c>
      <c r="AC8" s="51" t="str">
        <f t="shared" si="5"/>
        <v>OR / RRR</v>
      </c>
      <c r="AF8" s="100" t="str">
        <f t="shared" si="17"/>
        <v>Intervention's Expenditure Impact</v>
      </c>
      <c r="AG8" s="51" t="str">
        <f t="shared" si="18"/>
        <v>OR</v>
      </c>
      <c r="AH8" s="194" t="str">
        <f t="shared" si="19"/>
        <v>0-1,25</v>
      </c>
      <c r="AI8" s="51">
        <f>IF(_xlfn.MINIFS(P:P,A:A,V8,D:D,W8)=0,"NA",_xlfn.MINIFS(P:P,A:A,V8,D:D,W8))</f>
        <v>1.7480076535403569E-28</v>
      </c>
      <c r="AJ8" s="51">
        <f>IF(_xlfn.MAXIFS(P:P,A:A,V8,D:D,W8)=0,"NA",_xlfn.MAXIFS(P:P,A:A,V8,D:D,W8))</f>
        <v>1.2505425878521919</v>
      </c>
      <c r="AK8" s="51" t="str" cm="1">
        <f t="array" ref="AK8">IFERROR(_xlfn.TEXTJOIN(", ", TRUE, _xlfn.UNIQUE(_xlfn._xlws.FILTER(K$2:K$100, (A$2:A$100 = AF8) * (D$2:D$100 = AG8) * (J$2:J$100 &lt;= 0.05)))), "")</f>
        <v>UK</v>
      </c>
      <c r="AL8" s="51" t="str" cm="1">
        <f t="array" ref="AL8">IFERROR(_xlfn.TEXTJOIN(", ", TRUE, _xlfn.UNIQUE(_xlfn._xlws.FILTER(L$2:L$100, (A$2:A$100 = AF8) * (D$2:D$100 = AG8) * (J$2:J$100 &lt;= 0.05)))), "")</f>
        <v>(Mauskopf et al., 2013)</v>
      </c>
      <c r="AM8" s="51" t="str">
        <f t="shared" si="22"/>
        <v>OR / RRR</v>
      </c>
      <c r="AP8" s="44" t="str">
        <f t="shared" si="12"/>
        <v>Budget Impact</v>
      </c>
      <c r="AQ8" s="46" t="str">
        <f t="shared" si="13"/>
        <v>OR / RRR</v>
      </c>
      <c r="AR8" s="194" t="str">
        <f t="shared" si="14"/>
        <v>NO DATA</v>
      </c>
      <c r="AS8" s="200">
        <f t="shared" si="15"/>
        <v>0</v>
      </c>
      <c r="AT8" s="46">
        <f t="shared" si="16"/>
        <v>0</v>
      </c>
      <c r="AU8" s="51" t="str" cm="1">
        <f t="array" ref="AU8">_xlfn.TEXTJOIN(", ", TRUE, _xlfn.UNIQUE(IF((AF$2:AF$100 = AP8) * (AM$2:AM$100 = AQ8), AK$2:AK$100, "")))</f>
        <v/>
      </c>
      <c r="AV8" s="51" t="str" cm="1">
        <f t="array" ref="AV8">_xlfn.TEXTJOIN(", ", TRUE, _xlfn.UNIQUE(IF((AF$2:AF$100 = AP8) * (AM$2:AM$100 = AQ8), AL$2:AL$100, "")))</f>
        <v/>
      </c>
      <c r="AZ8" s="7" t="str">
        <v>Intervention Deemed Cost-Effective</v>
      </c>
      <c r="BA8" s="1" t="str" cm="1">
        <f t="array" ref="BA8">INDEX($AZ$1:$AZ$100,INT((ROW(A8)-1)/3)+1)</f>
        <v>Intervention's Expenditure Impact</v>
      </c>
      <c r="BB8" s="1" t="str" cm="1">
        <f t="array" ref="BB8">INDEX({"OR","RRR","ME"},MOD(ROW(AB8)-1,3)+1)</f>
        <v>RRR</v>
      </c>
      <c r="BD8" s="1" t="str" cm="1">
        <f t="array" ref="BD8">INDEX($AZ$1:$AZ$100,INT((ROW(A8)-1)/2)+1)</f>
        <v>Budget Impact</v>
      </c>
      <c r="BE8" s="6" t="str" cm="1">
        <f t="array" ref="BE8">INDEX({"OR / RRR";"ME"}, MOD(ROW(M8)-1, 2)+1)</f>
        <v>ME</v>
      </c>
    </row>
    <row r="9" spans="1:57" ht="45">
      <c r="A9" s="277" t="s">
        <v>1189</v>
      </c>
      <c r="B9" s="277" t="s">
        <v>878</v>
      </c>
      <c r="C9" s="277" t="s">
        <v>1194</v>
      </c>
      <c r="D9" s="286" t="s">
        <v>879</v>
      </c>
      <c r="E9" s="287">
        <v>0.84799999999999998</v>
      </c>
      <c r="F9" s="287">
        <v>0.76200000000000001</v>
      </c>
      <c r="G9" s="287">
        <v>0.94499999999999995</v>
      </c>
      <c r="H9" s="287"/>
      <c r="I9" s="287"/>
      <c r="J9" s="277">
        <v>0.05</v>
      </c>
      <c r="K9" s="277" t="s">
        <v>840</v>
      </c>
      <c r="L9" s="279" t="s">
        <v>974</v>
      </c>
      <c r="M9" s="83">
        <v>20000000</v>
      </c>
      <c r="N9" s="82">
        <f>AVERAGE('LCU to Int$ per year'!B11:B23)</f>
        <v>0.70244184615384608</v>
      </c>
      <c r="O9" s="80">
        <v>10000000</v>
      </c>
      <c r="P9" s="81">
        <f>E9^(O9/(M9/N9))</f>
        <v>0.94373731046589404</v>
      </c>
      <c r="Q9" s="82">
        <f>F9^(O9/(M9/N9))</f>
        <v>0.90895025552575426</v>
      </c>
      <c r="R9" s="82">
        <f>G9^(O9/(M9/N9))</f>
        <v>0.9803273905978459</v>
      </c>
      <c r="V9" s="100" t="str">
        <f t="shared" si="0"/>
        <v>Intervention's Expenditure Impact</v>
      </c>
      <c r="W9" s="51" t="str">
        <f t="shared" si="1"/>
        <v>RRR</v>
      </c>
      <c r="X9" s="51" t="str">
        <f t="shared" si="2"/>
        <v>0,96-0,97</v>
      </c>
      <c r="Y9" s="51">
        <f>IF(_xlfn.MINIFS(P:P,A:A,V9,D:D,W9)=0,"NA",_xlfn.MINIFS(P:P,A:A,V9,D:D,W9))</f>
        <v>0.9598371565524596</v>
      </c>
      <c r="Z9" s="51">
        <f>IF(_xlfn.MAXIFS(P:P,A:A,V9,D:D,W9)=0,"NA",_xlfn.MAXIFS(P:P,A:A,V9,D:D,W9))</f>
        <v>0.97321429285223304</v>
      </c>
      <c r="AA9" s="51" t="str" cm="1">
        <f t="array" ref="AA9">IFERROR(_xlfn.TEXTJOIN(", ", TRUE, _xlfn.UNIQUE(_xlfn._xlws.FILTER(K$2:K$100, (A$2:A$100 = V9) * (D$2:D$100 = W9)))), "")</f>
        <v>Netherlands, UK</v>
      </c>
      <c r="AB9" s="51" t="str" cm="1">
        <f t="array" ref="AB9">_xlfn.TEXTJOIN(", ", TRUE, _xlfn.UNIQUE(IF((A$2:A$100 = V9) * (D$2:D$100 = W9), L$2:L$100, "")))</f>
        <v>(Cerri, Knapp, &amp; Fernandez, 2014a), (H. A. Dakin et al., 2006)</v>
      </c>
      <c r="AC9" s="51" t="str">
        <f t="shared" si="5"/>
        <v>OR / RRR</v>
      </c>
      <c r="AF9" s="100" t="str">
        <f t="shared" si="17"/>
        <v>Intervention's Expenditure Impact</v>
      </c>
      <c r="AG9" s="51" t="str">
        <f t="shared" si="18"/>
        <v>RRR</v>
      </c>
      <c r="AH9" s="194" t="str">
        <f t="shared" si="19"/>
        <v>0,96-0,97</v>
      </c>
      <c r="AI9" s="51">
        <f t="shared" ref="AI9:AI10" si="23">IF(_xlfn.MINIFS(P:P,A:A,V9,D:D,W9)=0,"NA",_xlfn.MINIFS(P:P,A:A,V9,D:D,W9))</f>
        <v>0.9598371565524596</v>
      </c>
      <c r="AJ9" s="51">
        <f t="shared" ref="AJ9:AJ10" si="24">IF(_xlfn.MAXIFS(P:P,A:A,V9,D:D,W9)=0,"NA",_xlfn.MAXIFS(P:P,A:A,V9,D:D,W9))</f>
        <v>0.97321429285223304</v>
      </c>
      <c r="AK9" s="51" t="str" cm="1">
        <f t="array" ref="AK9">IFERROR(_xlfn.TEXTJOIN(", ", TRUE, _xlfn.UNIQUE(_xlfn._xlws.FILTER(K$2:K$100, (A$2:A$100 = AF9) * (D$2:D$100 = AG9) * (J$2:J$100 &lt;= 0.05)))), "")</f>
        <v/>
      </c>
      <c r="AL9" s="51" t="str" cm="1">
        <f t="array" ref="AL9">IFERROR(_xlfn.TEXTJOIN(", ", TRUE, _xlfn.UNIQUE(_xlfn._xlws.FILTER(L$2:L$100, (A$2:A$100 = AF9) * (D$2:D$100 = AG9) * (J$2:J$100 &lt;= 0.05)))), "")</f>
        <v/>
      </c>
      <c r="AM9" s="51" t="str">
        <f t="shared" si="22"/>
        <v>OR / RRR</v>
      </c>
      <c r="AP9" s="44" t="str">
        <f t="shared" si="12"/>
        <v>Budget Impact</v>
      </c>
      <c r="AQ9" s="46" t="str">
        <f t="shared" si="13"/>
        <v>ME</v>
      </c>
      <c r="AR9" s="194" t="str">
        <f t="shared" si="14"/>
        <v>NO DATA</v>
      </c>
      <c r="AS9" s="200">
        <f t="shared" si="15"/>
        <v>0</v>
      </c>
      <c r="AT9" s="46">
        <f t="shared" si="16"/>
        <v>0</v>
      </c>
      <c r="AU9" s="51" t="str" cm="1">
        <f t="array" ref="AU9">_xlfn.TEXTJOIN(", ", TRUE, _xlfn.UNIQUE(IF((AF$2:AF$100 = AP9) * (AM$2:AM$100 = AQ9), AK$2:AK$100, "")))</f>
        <v/>
      </c>
      <c r="AV9" s="51" t="str" cm="1">
        <f t="array" ref="AV9">_xlfn.TEXTJOIN(", ", TRUE, _xlfn.UNIQUE(IF((AF$2:AF$100 = AP9) * (AM$2:AM$100 = AQ9), AL$2:AL$100, "")))</f>
        <v/>
      </c>
      <c r="AZ9" s="7">
        <v>0</v>
      </c>
      <c r="BA9" s="1" t="str" cm="1">
        <f t="array" ref="BA9">INDEX($AZ$1:$AZ$100,INT((ROW(A9)-1)/3)+1)</f>
        <v>Intervention's Expenditure Impact</v>
      </c>
      <c r="BB9" s="1" t="str" cm="1">
        <f t="array" ref="BB9">INDEX({"OR","RRR","ME"},MOD(ROW(AB9)-1,3)+1)</f>
        <v>ME</v>
      </c>
      <c r="BD9" s="1" t="str" cm="1">
        <f t="array" ref="BD9">INDEX($AZ$1:$AZ$100,INT((ROW(A9)-1)/2)+1)</f>
        <v>Acceptable Cost-Effectiveness</v>
      </c>
      <c r="BE9" s="6" t="str" cm="1">
        <f t="array" ref="BE9">INDEX({"OR / RRR";"ME"}, MOD(ROW(M9)-1, 2)+1)</f>
        <v>OR / RRR</v>
      </c>
    </row>
    <row r="10" spans="1:57" ht="60">
      <c r="A10" s="169" t="s">
        <v>1195</v>
      </c>
      <c r="B10" s="169" t="s">
        <v>885</v>
      </c>
      <c r="C10" s="171" t="s">
        <v>1196</v>
      </c>
      <c r="D10" s="170" t="s">
        <v>879</v>
      </c>
      <c r="E10" s="172">
        <f>EXP(0.418)</f>
        <v>1.5189206744022399</v>
      </c>
      <c r="F10" s="172">
        <f>1/EXP(0.418+1.96*1.392)</f>
        <v>4.3010113210490031E-2</v>
      </c>
      <c r="G10" s="172">
        <f>1/EXP(0.418-1.96*1.392)</f>
        <v>10.077648986768752</v>
      </c>
      <c r="H10" s="172"/>
      <c r="I10" s="172"/>
      <c r="J10" s="171" t="s">
        <v>886</v>
      </c>
      <c r="K10" s="171" t="s">
        <v>50</v>
      </c>
      <c r="L10" s="173" t="s">
        <v>1094</v>
      </c>
      <c r="M10" s="62"/>
      <c r="V10" s="100" t="str">
        <f t="shared" si="0"/>
        <v>Intervention's Expenditure Impact</v>
      </c>
      <c r="W10" s="51" t="str">
        <f t="shared" si="1"/>
        <v>ME</v>
      </c>
      <c r="X10" s="51" t="e">
        <f t="shared" si="2"/>
        <v>#VALUE!</v>
      </c>
      <c r="Y10" s="51" t="str">
        <f t="shared" si="3"/>
        <v>NA</v>
      </c>
      <c r="Z10" s="51" t="str">
        <f t="shared" si="4"/>
        <v>NA</v>
      </c>
      <c r="AA10" s="51" t="str" cm="1">
        <f t="array" ref="AA10">IFERROR(_xlfn.TEXTJOIN(", ", TRUE, _xlfn.UNIQUE(_xlfn._xlws.FILTER(K$2:K$100, (A$2:A$100 = V10) * (D$2:D$100 = W10)))), "")</f>
        <v/>
      </c>
      <c r="AB10" s="51" t="str" cm="1">
        <f t="array" ref="AB10">_xlfn.TEXTJOIN(", ", TRUE, _xlfn.UNIQUE(IF((A$2:A$100 = V10) * (D$2:D$100 = W10), L$2:L$100, "")))</f>
        <v/>
      </c>
      <c r="AC10" s="51" t="str">
        <f t="shared" si="5"/>
        <v>ME</v>
      </c>
      <c r="AF10" s="100" t="str">
        <f t="shared" si="17"/>
        <v>Intervention's Expenditure Impact</v>
      </c>
      <c r="AG10" s="51" t="str">
        <f t="shared" si="18"/>
        <v>ME</v>
      </c>
      <c r="AH10" s="194" t="e">
        <f t="shared" si="19"/>
        <v>#VALUE!</v>
      </c>
      <c r="AI10" s="51" t="str">
        <f t="shared" si="23"/>
        <v>NA</v>
      </c>
      <c r="AJ10" s="51" t="str">
        <f t="shared" si="24"/>
        <v>NA</v>
      </c>
      <c r="AK10" s="51" t="str" cm="1">
        <f t="array" ref="AK10">IFERROR(_xlfn.TEXTJOIN(", ", TRUE, _xlfn.UNIQUE(_xlfn._xlws.FILTER(K$2:K$100, (A$2:A$100 = AF10) * (D$2:D$100 = AG10) * (J$2:J$100 &lt;= 0.05)))), "")</f>
        <v/>
      </c>
      <c r="AL10" s="51" t="str" cm="1">
        <f t="array" ref="AL10">IFERROR(_xlfn.TEXTJOIN(", ", TRUE, _xlfn.UNIQUE(_xlfn._xlws.FILTER(L$2:L$100, (A$2:A$100 = AF10) * (D$2:D$100 = AG10) * (J$2:J$100 &lt;= 0.05)))), "")</f>
        <v/>
      </c>
      <c r="AM10" s="51" t="str">
        <f t="shared" si="22"/>
        <v>ME</v>
      </c>
      <c r="AP10" s="44" t="str">
        <f t="shared" si="12"/>
        <v>Acceptable Cost-Effectiveness</v>
      </c>
      <c r="AQ10" s="46" t="str">
        <f t="shared" si="13"/>
        <v>OR / RRR</v>
      </c>
      <c r="AR10" s="194" t="str">
        <f t="shared" si="14"/>
        <v>3,73-4,6</v>
      </c>
      <c r="AS10" s="200">
        <f t="shared" si="15"/>
        <v>3.7323</v>
      </c>
      <c r="AT10" s="46">
        <f t="shared" si="16"/>
        <v>4.5999999999999996</v>
      </c>
      <c r="AU10" s="51" t="str" cm="1">
        <f t="array" ref="AU10">_xlfn.TEXTJOIN(", ", TRUE, _xlfn.UNIQUE(IF((AF$2:AF$100 = AP10) * (AM$2:AM$100 = AQ10), AK$2:AK$100, "")))</f>
        <v>Poland</v>
      </c>
      <c r="AV10" s="51" t="str" cm="1">
        <f t="array" ref="AV10">_xlfn.TEXTJOIN(", ", TRUE, _xlfn.UNIQUE(IF((AF$2:AF$100 = AP10) * (AM$2:AM$100 = AQ10), AL$2:AL$100, "")))</f>
        <v>(Kawalec et al., 2018), (Malinowski et al., 2016)</v>
      </c>
      <c r="AZ10" s="7" t="str">
        <v>Economic Uncertainties</v>
      </c>
      <c r="BA10" s="1" t="str" cm="1">
        <f t="array" ref="BA10">INDEX($AZ$1:$AZ$100,INT((ROW(A10)-1)/3)+1)</f>
        <v>Budget Impact</v>
      </c>
      <c r="BB10" s="1" t="str" cm="1">
        <f t="array" ref="BB10">INDEX({"OR","RRR","ME"},MOD(ROW(AB10)-1,3)+1)</f>
        <v>OR</v>
      </c>
      <c r="BD10" s="1" t="str" cm="1">
        <f t="array" ref="BD10">INDEX($AZ$1:$AZ$100,INT((ROW(A10)-1)/2)+1)</f>
        <v>Acceptable Cost-Effectiveness</v>
      </c>
      <c r="BE10" s="6" t="str" cm="1">
        <f t="array" ref="BE10">INDEX({"OR / RRR";"ME"}, MOD(ROW(M10)-1, 2)+1)</f>
        <v>ME</v>
      </c>
    </row>
    <row r="11" spans="1:57" ht="45">
      <c r="A11" s="171" t="s">
        <v>1189</v>
      </c>
      <c r="B11" s="171" t="s">
        <v>1113</v>
      </c>
      <c r="C11" s="171" t="s">
        <v>1197</v>
      </c>
      <c r="D11" s="170" t="s">
        <v>879</v>
      </c>
      <c r="E11" s="172">
        <v>0.41599999999999998</v>
      </c>
      <c r="F11" s="172">
        <v>0.16700000000000001</v>
      </c>
      <c r="G11" s="172">
        <v>1.038</v>
      </c>
      <c r="H11" s="172"/>
      <c r="I11" s="172"/>
      <c r="J11" s="171" t="s">
        <v>886</v>
      </c>
      <c r="K11" s="171" t="s">
        <v>182</v>
      </c>
      <c r="L11" s="173" t="s">
        <v>1115</v>
      </c>
      <c r="M11" s="83">
        <v>1000000</v>
      </c>
      <c r="N11" s="82">
        <v>1</v>
      </c>
      <c r="O11" s="80">
        <v>10000000</v>
      </c>
      <c r="P11" s="81">
        <f>E11^(O11/(M11/N11))</f>
        <v>1.5521486313025369E-4</v>
      </c>
      <c r="Q11" s="82">
        <f>F11^(O11/(M11/N11))</f>
        <v>1.6871927924929105E-8</v>
      </c>
      <c r="R11" s="82">
        <f>G11^(O11/(M11/N11))</f>
        <v>1.4520231320461561</v>
      </c>
      <c r="V11" s="44" t="str">
        <f t="shared" si="0"/>
        <v>Budget Impact</v>
      </c>
      <c r="W11" s="51" t="str">
        <f t="shared" si="1"/>
        <v>OR</v>
      </c>
      <c r="X11" s="51">
        <f t="shared" si="2"/>
        <v>1.52</v>
      </c>
      <c r="Y11" s="51">
        <f t="shared" si="3"/>
        <v>1.5189206744022399</v>
      </c>
      <c r="Z11" s="51">
        <f t="shared" si="4"/>
        <v>1.5189206744022399</v>
      </c>
      <c r="AA11" s="51" t="str" cm="1">
        <f t="array" ref="AA11">IFERROR(_xlfn.TEXTJOIN(", ", TRUE, _xlfn.UNIQUE(_xlfn._xlws.FILTER(K$2:K$100, (A$2:A$100 = V11) * (D$2:D$100 = W11)))), "")</f>
        <v>Germany</v>
      </c>
      <c r="AB11" s="51" t="str" cm="1">
        <f t="array" ref="AB11">_xlfn.TEXTJOIN(", ", TRUE, _xlfn.UNIQUE(IF((A$2:A$100 = V11) * (D$2:D$100 = W11), L$2:L$100, "")))</f>
        <v>(Schaefer et al., 2023)</v>
      </c>
      <c r="AC11" s="51" t="str">
        <f t="shared" si="5"/>
        <v>OR / RRR</v>
      </c>
      <c r="AF11" s="44" t="str">
        <f t="shared" si="17"/>
        <v>Budget Impact</v>
      </c>
      <c r="AG11" s="51" t="str">
        <f t="shared" si="18"/>
        <v>OR</v>
      </c>
      <c r="AH11" s="194" t="e">
        <f t="shared" si="19"/>
        <v>#VALUE!</v>
      </c>
      <c r="AI11" s="51" t="str">
        <f t="shared" si="20"/>
        <v>NA</v>
      </c>
      <c r="AJ11" s="51" t="str">
        <f t="shared" si="21"/>
        <v>NA</v>
      </c>
      <c r="AK11" s="51" t="str" cm="1">
        <f t="array" ref="AK11">IFERROR(_xlfn.TEXTJOIN(", ", TRUE, _xlfn.UNIQUE(_xlfn._xlws.FILTER(K$2:K$100, (A$2:A$100 = AF11) * (D$2:D$100 = AG11) * (J$2:J$100 &lt;= 0.05)))), "")</f>
        <v/>
      </c>
      <c r="AL11" s="51" t="str" cm="1">
        <f t="array" ref="AL11">IFERROR(_xlfn.TEXTJOIN(", ", TRUE, _xlfn.UNIQUE(_xlfn._xlws.FILTER(L$2:L$100, (A$2:A$100 = AF11) * (D$2:D$100 = AG11) * (J$2:J$100 &lt;= 0.05)))), "")</f>
        <v/>
      </c>
      <c r="AM11" s="51" t="str">
        <f t="shared" si="22"/>
        <v>OR / RRR</v>
      </c>
      <c r="AP11" s="44" t="str">
        <f t="shared" si="12"/>
        <v>Acceptable Cost-Effectiveness</v>
      </c>
      <c r="AQ11" s="46" t="str">
        <f t="shared" si="13"/>
        <v>ME</v>
      </c>
      <c r="AR11" s="194" t="str">
        <f t="shared" si="14"/>
        <v>NO DATA</v>
      </c>
      <c r="AS11" s="200">
        <f t="shared" si="15"/>
        <v>0</v>
      </c>
      <c r="AT11" s="46">
        <f t="shared" si="16"/>
        <v>0</v>
      </c>
      <c r="AU11" s="51" t="str" cm="1">
        <f t="array" ref="AU11">_xlfn.TEXTJOIN(", ", TRUE, _xlfn.UNIQUE(IF((AF$2:AF$100 = AP11) * (AM$2:AM$100 = AQ11), AK$2:AK$100, "")))</f>
        <v/>
      </c>
      <c r="AV11" s="51" t="str" cm="1">
        <f t="array" ref="AV11">_xlfn.TEXTJOIN(", ", TRUE, _xlfn.UNIQUE(IF((AF$2:AF$100 = AP11) * (AM$2:AM$100 = AQ11), AL$2:AL$100, "")))</f>
        <v/>
      </c>
      <c r="AZ11" s="7" t="str">
        <v>Validiity of Cost-Effectiveness Assessment Acceptable</v>
      </c>
      <c r="BA11" s="1" t="str" cm="1">
        <f t="array" ref="BA11">INDEX($AZ$1:$AZ$100,INT((ROW(A11)-1)/3)+1)</f>
        <v>Budget Impact</v>
      </c>
      <c r="BB11" s="1" t="str" cm="1">
        <f t="array" ref="BB11">INDEX({"OR","RRR","ME"},MOD(ROW(AB11)-1,3)+1)</f>
        <v>RRR</v>
      </c>
      <c r="BD11" s="1" t="str" cm="1">
        <f t="array" ref="BD11">INDEX($AZ$1:$AZ$100,INT((ROW(A11)-1)/2)+1)</f>
        <v>Zero / Negative Budget Impact</v>
      </c>
      <c r="BE11" s="6" t="str" cm="1">
        <f t="array" ref="BE11">INDEX({"OR / RRR";"ME"}, MOD(ROW(M11)-1, 2)+1)</f>
        <v>OR / RRR</v>
      </c>
    </row>
    <row r="12" spans="1:57" ht="60">
      <c r="A12" s="175" t="s">
        <v>1198</v>
      </c>
      <c r="B12" s="175" t="s">
        <v>885</v>
      </c>
      <c r="C12" s="176" t="s">
        <v>1199</v>
      </c>
      <c r="D12" s="170" t="s">
        <v>879</v>
      </c>
      <c r="E12" s="172">
        <v>4.5999999999999996</v>
      </c>
      <c r="F12" s="172">
        <v>1.63</v>
      </c>
      <c r="G12" s="172">
        <v>12.99</v>
      </c>
      <c r="H12" s="172"/>
      <c r="I12" s="172"/>
      <c r="J12" s="176">
        <v>4.0000000000000001E-3</v>
      </c>
      <c r="K12" s="176" t="s">
        <v>216</v>
      </c>
      <c r="L12" s="176" t="s">
        <v>991</v>
      </c>
      <c r="M12" s="62"/>
      <c r="V12" s="44" t="str">
        <f t="shared" si="0"/>
        <v>Budget Impact</v>
      </c>
      <c r="W12" s="51" t="str">
        <f t="shared" si="1"/>
        <v>RRR</v>
      </c>
      <c r="X12" s="51" t="e">
        <f t="shared" si="2"/>
        <v>#VALUE!</v>
      </c>
      <c r="Y12" s="51" t="str">
        <f t="shared" si="3"/>
        <v>NA</v>
      </c>
      <c r="Z12" s="51" t="str">
        <f t="shared" si="4"/>
        <v>NA</v>
      </c>
      <c r="AA12" s="51" t="str" cm="1">
        <f t="array" ref="AA12">IFERROR(_xlfn.TEXTJOIN(", ", TRUE, _xlfn.UNIQUE(_xlfn._xlws.FILTER(K$2:K$100, (A$2:A$100 = V12) * (D$2:D$100 = W12)))), "")</f>
        <v/>
      </c>
      <c r="AB12" s="51" t="str" cm="1">
        <f t="array" ref="AB12">_xlfn.TEXTJOIN(", ", TRUE, _xlfn.UNIQUE(IF((A$2:A$100 = V12) * (D$2:D$100 = W12), L$2:L$100, "")))</f>
        <v/>
      </c>
      <c r="AC12" s="51" t="str">
        <f t="shared" si="5"/>
        <v>OR / RRR</v>
      </c>
      <c r="AF12" s="44" t="str">
        <f t="shared" si="17"/>
        <v>Budget Impact</v>
      </c>
      <c r="AG12" s="51" t="str">
        <f t="shared" si="18"/>
        <v>RRR</v>
      </c>
      <c r="AH12" s="194" t="e">
        <f t="shared" si="19"/>
        <v>#VALUE!</v>
      </c>
      <c r="AI12" s="51" t="str">
        <f t="shared" si="20"/>
        <v>NA</v>
      </c>
      <c r="AJ12" s="51" t="str">
        <f t="shared" si="21"/>
        <v>NA</v>
      </c>
      <c r="AK12" s="51" t="str" cm="1">
        <f t="array" ref="AK12">IFERROR(_xlfn.TEXTJOIN(", ", TRUE, _xlfn.UNIQUE(_xlfn._xlws.FILTER(K$2:K$100, (A$2:A$100 = AF12) * (D$2:D$100 = AG12) * (J$2:J$100 &lt;= 0.05)))), "")</f>
        <v/>
      </c>
      <c r="AL12" s="51" t="str" cm="1">
        <f t="array" ref="AL12">IFERROR(_xlfn.TEXTJOIN(", ", TRUE, _xlfn.UNIQUE(_xlfn._xlws.FILTER(L$2:L$100, (A$2:A$100 = AF12) * (D$2:D$100 = AG12) * (J$2:J$100 &lt;= 0.05)))), "")</f>
        <v/>
      </c>
      <c r="AM12" s="51" t="str">
        <f t="shared" si="22"/>
        <v>OR / RRR</v>
      </c>
      <c r="AP12" s="44" t="str">
        <f t="shared" si="12"/>
        <v>Zero / Negative Budget Impact</v>
      </c>
      <c r="AQ12" s="46" t="str">
        <f t="shared" si="13"/>
        <v>OR / RRR</v>
      </c>
      <c r="AR12" s="194" t="str">
        <f t="shared" si="14"/>
        <v>8,91-152,58</v>
      </c>
      <c r="AS12" s="200">
        <f t="shared" si="15"/>
        <v>8.91</v>
      </c>
      <c r="AT12" s="46">
        <f t="shared" si="16"/>
        <v>152.58199999999999</v>
      </c>
      <c r="AU12" s="51" t="str" cm="1">
        <f t="array" ref="AU12">_xlfn.TEXTJOIN(", ", TRUE, _xlfn.UNIQUE(IF((AF$2:AF$100 = AP12) * (AM$2:AM$100 = AQ12), AK$2:AK$100, "")))</f>
        <v>South Korea, Australia, Scotland</v>
      </c>
      <c r="AV12" s="51" t="str" cm="1">
        <f t="array" ref="AV12">_xlfn.TEXTJOIN(", ", TRUE, _xlfn.UNIQUE(IF((AF$2:AF$100 = AP12) * (AM$2:AM$100 = AQ12), AL$2:AL$100, "")))</f>
        <v>(Park et al., 2012), (Hill et al., 2022), (Charokopou et al., 2015)</v>
      </c>
      <c r="AZ12" s="7" t="str">
        <v>ICER (10K int$ / QALY)</v>
      </c>
      <c r="BA12" s="1" t="str" cm="1">
        <f t="array" ref="BA12">INDEX($AZ$1:$AZ$100,INT((ROW(A12)-1)/3)+1)</f>
        <v>Budget Impact</v>
      </c>
      <c r="BB12" s="1" t="str" cm="1">
        <f t="array" ref="BB12">INDEX({"OR","RRR","ME"},MOD(ROW(AB12)-1,3)+1)</f>
        <v>ME</v>
      </c>
      <c r="BD12" s="1" t="str" cm="1">
        <f t="array" ref="BD12">INDEX($AZ$1:$AZ$100,INT((ROW(A12)-1)/2)+1)</f>
        <v>Zero / Negative Budget Impact</v>
      </c>
      <c r="BE12" s="6" t="str" cm="1">
        <f t="array" ref="BE12">INDEX({"OR / RRR";"ME"}, MOD(ROW(M12)-1, 2)+1)</f>
        <v>ME</v>
      </c>
    </row>
    <row r="13" spans="1:57" ht="30">
      <c r="A13" s="177" t="s">
        <v>1198</v>
      </c>
      <c r="B13" s="171" t="s">
        <v>1075</v>
      </c>
      <c r="C13" s="176" t="s">
        <v>1200</v>
      </c>
      <c r="D13" s="170" t="s">
        <v>879</v>
      </c>
      <c r="E13" s="172">
        <v>3.7323</v>
      </c>
      <c r="F13" s="172">
        <v>1.4890000000000001</v>
      </c>
      <c r="G13" s="172">
        <v>9.86</v>
      </c>
      <c r="H13" s="172"/>
      <c r="I13" s="172"/>
      <c r="J13" s="176">
        <v>4.7999999999999996E-3</v>
      </c>
      <c r="K13" s="176" t="s">
        <v>216</v>
      </c>
      <c r="L13" s="176" t="s">
        <v>1077</v>
      </c>
      <c r="M13" s="62"/>
      <c r="V13" s="44" t="str">
        <f t="shared" si="0"/>
        <v>Budget Impact</v>
      </c>
      <c r="W13" s="51" t="str">
        <f t="shared" si="1"/>
        <v>ME</v>
      </c>
      <c r="X13" s="51" t="e">
        <f t="shared" si="2"/>
        <v>#VALUE!</v>
      </c>
      <c r="Y13" s="51" t="str">
        <f t="shared" si="3"/>
        <v>NA</v>
      </c>
      <c r="Z13" s="51" t="str">
        <f t="shared" si="4"/>
        <v>NA</v>
      </c>
      <c r="AA13" s="51" t="str" cm="1">
        <f t="array" ref="AA13">IFERROR(_xlfn.TEXTJOIN(", ", TRUE, _xlfn.UNIQUE(_xlfn._xlws.FILTER(K$2:K$100, (A$2:A$100 = V13) * (D$2:D$100 = W13)))), "")</f>
        <v/>
      </c>
      <c r="AB13" s="51" t="str" cm="1">
        <f t="array" ref="AB13">_xlfn.TEXTJOIN(", ", TRUE, _xlfn.UNIQUE(IF((A$2:A$100 = V13) * (D$2:D$100 = W13), L$2:L$100, "")))</f>
        <v/>
      </c>
      <c r="AC13" s="51" t="str">
        <f t="shared" si="5"/>
        <v>ME</v>
      </c>
      <c r="AF13" s="44" t="str">
        <f t="shared" si="17"/>
        <v>Budget Impact</v>
      </c>
      <c r="AG13" s="51" t="str">
        <f t="shared" si="18"/>
        <v>ME</v>
      </c>
      <c r="AH13" s="194" t="e">
        <f t="shared" si="19"/>
        <v>#VALUE!</v>
      </c>
      <c r="AI13" s="51" t="str">
        <f t="shared" si="20"/>
        <v>NA</v>
      </c>
      <c r="AJ13" s="51" t="str">
        <f t="shared" si="21"/>
        <v>NA</v>
      </c>
      <c r="AK13" s="51" t="str" cm="1">
        <f t="array" ref="AK13">IFERROR(_xlfn.TEXTJOIN(", ", TRUE, _xlfn.UNIQUE(_xlfn._xlws.FILTER(K$2:K$100, (A$2:A$100 = AF13) * (D$2:D$100 = AG13) * (J$2:J$100 &lt;= 0.05)))), "")</f>
        <v/>
      </c>
      <c r="AL13" s="51" t="str" cm="1">
        <f t="array" ref="AL13">IFERROR(_xlfn.TEXTJOIN(", ", TRUE, _xlfn.UNIQUE(_xlfn._xlws.FILTER(L$2:L$100, (A$2:A$100 = AF13) * (D$2:D$100 = AG13) * (J$2:J$100 &lt;= 0.05)))), "")</f>
        <v/>
      </c>
      <c r="AM13" s="51" t="str">
        <f t="shared" si="22"/>
        <v>ME</v>
      </c>
      <c r="AP13" s="44" t="str">
        <f t="shared" si="12"/>
        <v>Zero / Negative Budget Impact</v>
      </c>
      <c r="AQ13" s="46" t="str">
        <f t="shared" si="13"/>
        <v>ME</v>
      </c>
      <c r="AR13" s="194" t="str">
        <f t="shared" si="14"/>
        <v>NO DATA</v>
      </c>
      <c r="AS13" s="200">
        <f t="shared" si="15"/>
        <v>0</v>
      </c>
      <c r="AT13" s="46">
        <f t="shared" si="16"/>
        <v>0</v>
      </c>
      <c r="AU13" s="51" t="str" cm="1">
        <f t="array" ref="AU13">_xlfn.TEXTJOIN(", ", TRUE, _xlfn.UNIQUE(IF((AF$2:AF$100 = AP13) * (AM$2:AM$100 = AQ13), AK$2:AK$100, "")))</f>
        <v/>
      </c>
      <c r="AV13" s="51" t="str" cm="1">
        <f t="array" ref="AV13">_xlfn.TEXTJOIN(", ", TRUE, _xlfn.UNIQUE(IF((AF$2:AF$100 = AP13) * (AM$2:AM$100 = AQ13), AL$2:AL$100, "")))</f>
        <v/>
      </c>
      <c r="AZ13" s="7" t="str">
        <v>ICER &lt; Threshold</v>
      </c>
      <c r="BA13" s="1" t="str" cm="1">
        <f t="array" ref="BA13">INDEX($AZ$1:$AZ$100,INT((ROW(A13)-1)/3)+1)</f>
        <v>Acceptable Cost-Effectiveness</v>
      </c>
      <c r="BB13" s="1" t="str" cm="1">
        <f t="array" ref="BB13">INDEX({"OR","RRR","ME"},MOD(ROW(AB13)-1,3)+1)</f>
        <v>OR</v>
      </c>
      <c r="BD13" s="1" t="str" cm="1">
        <f t="array" ref="BD13">INDEX($AZ$1:$AZ$100,INT((ROW(A13)-1)/2)+1)</f>
        <v>Cost of Therapy Acceptable</v>
      </c>
      <c r="BE13" s="6" t="str" cm="1">
        <f t="array" ref="BE13">INDEX({"OR / RRR";"ME"}, MOD(ROW(M13)-1, 2)+1)</f>
        <v>OR / RRR</v>
      </c>
    </row>
    <row r="14" spans="1:57" ht="45">
      <c r="A14" s="288" t="s">
        <v>1201</v>
      </c>
      <c r="B14" s="277" t="s">
        <v>1113</v>
      </c>
      <c r="C14" s="277" t="s">
        <v>1202</v>
      </c>
      <c r="D14" s="286" t="s">
        <v>879</v>
      </c>
      <c r="E14" s="287">
        <v>152.58199999999999</v>
      </c>
      <c r="F14" s="287">
        <v>15.023</v>
      </c>
      <c r="G14" s="287">
        <v>999.99900000000002</v>
      </c>
      <c r="H14" s="287"/>
      <c r="I14" s="287"/>
      <c r="J14" s="277">
        <v>0.05</v>
      </c>
      <c r="K14" s="277" t="s">
        <v>182</v>
      </c>
      <c r="L14" s="279" t="s">
        <v>1115</v>
      </c>
      <c r="M14" s="62"/>
      <c r="V14" s="44" t="str">
        <f t="shared" si="0"/>
        <v>Acceptable Cost-Effectiveness</v>
      </c>
      <c r="W14" s="51" t="str">
        <f t="shared" si="1"/>
        <v>OR</v>
      </c>
      <c r="X14" s="51" t="str">
        <f t="shared" si="2"/>
        <v>3,73-4,6</v>
      </c>
      <c r="Y14" s="51">
        <f t="shared" si="3"/>
        <v>3.7323</v>
      </c>
      <c r="Z14" s="51">
        <f t="shared" si="4"/>
        <v>4.5999999999999996</v>
      </c>
      <c r="AA14" s="51" t="str" cm="1">
        <f t="array" ref="AA14">IFERROR(_xlfn.TEXTJOIN(", ", TRUE, _xlfn.UNIQUE(_xlfn._xlws.FILTER(K$2:K$100, (A$2:A$100 = V14) * (D$2:D$100 = W14)))), "")</f>
        <v>Poland</v>
      </c>
      <c r="AB14" s="51" t="str" cm="1">
        <f t="array" ref="AB14">_xlfn.TEXTJOIN(", ", TRUE, _xlfn.UNIQUE(IF((A$2:A$100 = V14) * (D$2:D$100 = W14), L$2:L$100, "")))</f>
        <v>(Kawalec et al., 2018), (Malinowski et al., 2016)</v>
      </c>
      <c r="AC14" s="51" t="str">
        <f t="shared" si="5"/>
        <v>OR / RRR</v>
      </c>
      <c r="AF14" s="44" t="str">
        <f t="shared" si="17"/>
        <v>Acceptable Cost-Effectiveness</v>
      </c>
      <c r="AG14" s="51" t="str">
        <f t="shared" si="18"/>
        <v>OR</v>
      </c>
      <c r="AH14" s="194" t="str">
        <f t="shared" si="19"/>
        <v>3,73-4,6</v>
      </c>
      <c r="AI14" s="51">
        <f t="shared" si="20"/>
        <v>3.7323</v>
      </c>
      <c r="AJ14" s="51">
        <f t="shared" si="21"/>
        <v>4.5999999999999996</v>
      </c>
      <c r="AK14" s="51" t="str" cm="1">
        <f t="array" ref="AK14">IFERROR(_xlfn.TEXTJOIN(", ", TRUE, _xlfn.UNIQUE(_xlfn._xlws.FILTER(K$2:K$100, (A$2:A$100 = AF14) * (D$2:D$100 = AG14) * (J$2:J$100 &lt;= 0.05)))), "")</f>
        <v>Poland</v>
      </c>
      <c r="AL14" s="51" t="str" cm="1">
        <f t="array" ref="AL14">IFERROR(_xlfn.TEXTJOIN(", ", TRUE, _xlfn.UNIQUE(_xlfn._xlws.FILTER(L$2:L$100, (A$2:A$100 = AF14) * (D$2:D$100 = AG14) * (J$2:J$100 &lt;= 0.05)))), "")</f>
        <v>(Kawalec et al., 2018), (Malinowski et al., 2016)</v>
      </c>
      <c r="AM14" s="51" t="str">
        <f t="shared" si="22"/>
        <v>OR / RRR</v>
      </c>
      <c r="AP14" s="44" t="str">
        <f t="shared" ref="AP14:AP45" si="25">BD13</f>
        <v>Cost of Therapy Acceptable</v>
      </c>
      <c r="AQ14" s="46" t="str">
        <f t="shared" ref="AQ14:AQ45" si="26">BE13</f>
        <v>OR / RRR</v>
      </c>
      <c r="AR14" s="194">
        <f t="shared" ref="AR14:AR45" si="27">IF(AS14=AT14, IF(AS14=0, "NO DATA", ROUND(AS14, 2)), ROUND(AS14, 2) &amp; "-" &amp; ROUND(AT14, 2))</f>
        <v>3.03</v>
      </c>
      <c r="AS14" s="200">
        <f t="shared" ref="AS14:AS45" si="28">_xlfn.MINIFS(AI:AI, AF:AF, AP14, AM:AM, AQ14)</f>
        <v>3.03</v>
      </c>
      <c r="AT14" s="46">
        <f t="shared" ref="AT14:AT45" si="29">_xlfn.MAXIFS(AJ:AJ, AF:AF, AP14, AM:AM, AQ14)</f>
        <v>3.03</v>
      </c>
      <c r="AU14" s="51" t="str" cm="1">
        <f t="array" ref="AU14">_xlfn.TEXTJOIN(", ", TRUE, _xlfn.UNIQUE(IF((AF$2:AF$100 = AP14) * (AM$2:AM$100 = AQ14), AK$2:AK$100, "")))</f>
        <v>Poland</v>
      </c>
      <c r="AV14" s="51" t="str" cm="1">
        <f t="array" ref="AV14">_xlfn.TEXTJOIN(", ", TRUE, _xlfn.UNIQUE(IF((AF$2:AF$100 = AP14) * (AM$2:AM$100 = AQ14), AL$2:AL$100, "")))</f>
        <v>(Malinowski et al., 2016)</v>
      </c>
      <c r="AZ14" s="7" t="str">
        <v>ICER within a range</v>
      </c>
      <c r="BA14" s="1" t="str" cm="1">
        <f t="array" ref="BA14">INDEX($AZ$1:$AZ$100,INT((ROW(A14)-1)/3)+1)</f>
        <v>Acceptable Cost-Effectiveness</v>
      </c>
      <c r="BB14" s="1" t="str" cm="1">
        <f t="array" ref="BB14">INDEX({"OR","RRR","ME"},MOD(ROW(AB14)-1,3)+1)</f>
        <v>RRR</v>
      </c>
      <c r="BD14" s="1" t="str" cm="1">
        <f t="array" ref="BD14">INDEX($AZ$1:$AZ$100,INT((ROW(A14)-1)/2)+1)</f>
        <v>Cost of Therapy Acceptable</v>
      </c>
      <c r="BE14" s="6" t="str" cm="1">
        <f t="array" ref="BE14">INDEX({"OR / RRR";"ME"}, MOD(ROW(M14)-1, 2)+1)</f>
        <v>ME</v>
      </c>
    </row>
    <row r="15" spans="1:57" ht="60">
      <c r="A15" s="178" t="s">
        <v>1203</v>
      </c>
      <c r="B15" s="171" t="s">
        <v>1075</v>
      </c>
      <c r="C15" s="171" t="s">
        <v>1203</v>
      </c>
      <c r="D15" s="170" t="s">
        <v>879</v>
      </c>
      <c r="E15" s="172">
        <v>3.03</v>
      </c>
      <c r="F15" s="172">
        <v>1.3173999999999999</v>
      </c>
      <c r="G15" s="172">
        <v>7.4058999999999999</v>
      </c>
      <c r="H15" s="172"/>
      <c r="I15" s="172"/>
      <c r="J15" s="171">
        <v>8.6999999999999994E-3</v>
      </c>
      <c r="K15" s="171" t="s">
        <v>216</v>
      </c>
      <c r="L15" s="173" t="s">
        <v>1077</v>
      </c>
      <c r="M15" s="62"/>
      <c r="V15" s="44" t="str">
        <f t="shared" si="0"/>
        <v>Acceptable Cost-Effectiveness</v>
      </c>
      <c r="W15" s="51" t="str">
        <f t="shared" si="1"/>
        <v>RRR</v>
      </c>
      <c r="X15" s="51" t="e">
        <f t="shared" si="2"/>
        <v>#VALUE!</v>
      </c>
      <c r="Y15" s="51" t="str">
        <f t="shared" si="3"/>
        <v>NA</v>
      </c>
      <c r="Z15" s="51" t="str">
        <f t="shared" si="4"/>
        <v>NA</v>
      </c>
      <c r="AA15" s="51" t="str" cm="1">
        <f t="array" ref="AA15">IFERROR(_xlfn.TEXTJOIN(", ", TRUE, _xlfn.UNIQUE(_xlfn._xlws.FILTER(K$2:K$100, (A$2:A$100 = V15) * (D$2:D$100 = W15)))), "")</f>
        <v/>
      </c>
      <c r="AB15" s="51" t="str" cm="1">
        <f t="array" ref="AB15">_xlfn.TEXTJOIN(", ", TRUE, _xlfn.UNIQUE(IF((A$2:A$100 = V15) * (D$2:D$100 = W15), L$2:L$100, "")))</f>
        <v/>
      </c>
      <c r="AC15" s="51" t="str">
        <f t="shared" si="5"/>
        <v>OR / RRR</v>
      </c>
      <c r="AF15" s="44" t="str">
        <f t="shared" si="17"/>
        <v>Acceptable Cost-Effectiveness</v>
      </c>
      <c r="AG15" s="51" t="str">
        <f t="shared" si="18"/>
        <v>RRR</v>
      </c>
      <c r="AH15" s="194" t="e">
        <f t="shared" si="19"/>
        <v>#VALUE!</v>
      </c>
      <c r="AI15" s="51" t="str">
        <f t="shared" si="20"/>
        <v>NA</v>
      </c>
      <c r="AJ15" s="51" t="str">
        <f t="shared" si="21"/>
        <v>NA</v>
      </c>
      <c r="AK15" s="51" t="str" cm="1">
        <f t="array" ref="AK15">IFERROR(_xlfn.TEXTJOIN(", ", TRUE, _xlfn.UNIQUE(_xlfn._xlws.FILTER(K$2:K$100, (A$2:A$100 = AF15) * (D$2:D$100 = AG15) * (J$2:J$100 &lt;= 0.05)))), "")</f>
        <v/>
      </c>
      <c r="AL15" s="51" t="str" cm="1">
        <f t="array" ref="AL15">IFERROR(_xlfn.TEXTJOIN(", ", TRUE, _xlfn.UNIQUE(_xlfn._xlws.FILTER(L$2:L$100, (A$2:A$100 = AF15) * (D$2:D$100 = AG15) * (J$2:J$100 &lt;= 0.05)))), "")</f>
        <v/>
      </c>
      <c r="AM15" s="51" t="str">
        <f t="shared" si="22"/>
        <v>OR / RRR</v>
      </c>
      <c r="AP15" s="44" t="str">
        <f t="shared" si="25"/>
        <v>Cost of Therapy Acceptable</v>
      </c>
      <c r="AQ15" s="46" t="str">
        <f t="shared" si="26"/>
        <v>ME</v>
      </c>
      <c r="AR15" s="194" t="str">
        <f t="shared" si="27"/>
        <v>NO DATA</v>
      </c>
      <c r="AS15" s="200">
        <f t="shared" si="28"/>
        <v>0</v>
      </c>
      <c r="AT15" s="46">
        <f t="shared" si="29"/>
        <v>0</v>
      </c>
      <c r="AU15" s="51" t="str" cm="1">
        <f t="array" ref="AU15">_xlfn.TEXTJOIN(", ", TRUE, _xlfn.UNIQUE(IF((AF$2:AF$100 = AP15) * (AM$2:AM$100 = AQ15), AK$2:AK$100, "")))</f>
        <v/>
      </c>
      <c r="AV15" s="51" t="str" cm="1">
        <f t="array" ref="AV15">_xlfn.TEXTJOIN(", ", TRUE, _xlfn.UNIQUE(IF((AF$2:AF$100 = AP15) * (AM$2:AM$100 = AQ15), AL$2:AL$100, "")))</f>
        <v/>
      </c>
      <c r="AZ15" s="7" t="str">
        <v>ICER &gt; Threshold</v>
      </c>
      <c r="BA15" s="1" t="str" cm="1">
        <f t="array" ref="BA15">INDEX($AZ$1:$AZ$100,INT((ROW(A15)-1)/3)+1)</f>
        <v>Acceptable Cost-Effectiveness</v>
      </c>
      <c r="BB15" s="1" t="str" cm="1">
        <f t="array" ref="BB15">INDEX({"OR","RRR","ME"},MOD(ROW(AB15)-1,3)+1)</f>
        <v>ME</v>
      </c>
      <c r="BD15" s="1" t="str" cm="1">
        <f t="array" ref="BD15">INDEX($AZ$1:$AZ$100,INT((ROW(A15)-1)/2)+1)</f>
        <v>Intervention Deemed Cost-Effective</v>
      </c>
      <c r="BE15" s="6" t="str" cm="1">
        <f t="array" ref="BE15">INDEX({"OR / RRR";"ME"}, MOD(ROW(M15)-1, 2)+1)</f>
        <v>OR / RRR</v>
      </c>
    </row>
    <row r="16" spans="1:57" ht="45">
      <c r="A16" s="288" t="s">
        <v>1201</v>
      </c>
      <c r="B16" s="277" t="s">
        <v>885</v>
      </c>
      <c r="C16" s="277" t="s">
        <v>1204</v>
      </c>
      <c r="D16" s="286" t="s">
        <v>879</v>
      </c>
      <c r="E16" s="287">
        <v>10.938000000000001</v>
      </c>
      <c r="F16" s="287">
        <v>1.5249999999999999</v>
      </c>
      <c r="G16" s="287">
        <v>78.460999999999999</v>
      </c>
      <c r="H16" s="287"/>
      <c r="I16" s="287"/>
      <c r="J16" s="277">
        <v>0.05</v>
      </c>
      <c r="K16" s="277" t="s">
        <v>365</v>
      </c>
      <c r="L16" s="279" t="s">
        <v>1136</v>
      </c>
      <c r="M16" s="62"/>
      <c r="V16" s="44" t="str">
        <f t="shared" si="0"/>
        <v>Acceptable Cost-Effectiveness</v>
      </c>
      <c r="W16" s="51" t="str">
        <f t="shared" si="1"/>
        <v>ME</v>
      </c>
      <c r="X16" s="51" t="e">
        <f t="shared" si="2"/>
        <v>#VALUE!</v>
      </c>
      <c r="Y16" s="51" t="str">
        <f t="shared" si="3"/>
        <v>NA</v>
      </c>
      <c r="Z16" s="51" t="str">
        <f t="shared" si="4"/>
        <v>NA</v>
      </c>
      <c r="AA16" s="51" t="str" cm="1">
        <f t="array" ref="AA16">IFERROR(_xlfn.TEXTJOIN(", ", TRUE, _xlfn.UNIQUE(_xlfn._xlws.FILTER(K$2:K$100, (A$2:A$100 = V16) * (D$2:D$100 = W16)))), "")</f>
        <v/>
      </c>
      <c r="AB16" s="51" t="str" cm="1">
        <f t="array" ref="AB16">_xlfn.TEXTJOIN(", ", TRUE, _xlfn.UNIQUE(IF((A$2:A$100 = V16) * (D$2:D$100 = W16), L$2:L$100, "")))</f>
        <v/>
      </c>
      <c r="AC16" s="51" t="str">
        <f t="shared" si="5"/>
        <v>ME</v>
      </c>
      <c r="AF16" s="44" t="str">
        <f t="shared" si="17"/>
        <v>Acceptable Cost-Effectiveness</v>
      </c>
      <c r="AG16" s="51" t="str">
        <f t="shared" si="18"/>
        <v>ME</v>
      </c>
      <c r="AH16" s="194" t="e">
        <f t="shared" si="19"/>
        <v>#VALUE!</v>
      </c>
      <c r="AI16" s="51" t="str">
        <f t="shared" si="20"/>
        <v>NA</v>
      </c>
      <c r="AJ16" s="51" t="str">
        <f t="shared" si="21"/>
        <v>NA</v>
      </c>
      <c r="AK16" s="51" t="str" cm="1">
        <f t="array" ref="AK16">IFERROR(_xlfn.TEXTJOIN(", ", TRUE, _xlfn.UNIQUE(_xlfn._xlws.FILTER(K$2:K$100, (A$2:A$100 = AF16) * (D$2:D$100 = AG16) * (J$2:J$100 &lt;= 0.05)))), "")</f>
        <v/>
      </c>
      <c r="AL16" s="51" t="str" cm="1">
        <f t="array" ref="AL16">IFERROR(_xlfn.TEXTJOIN(", ", TRUE, _xlfn.UNIQUE(_xlfn._xlws.FILTER(L$2:L$100, (A$2:A$100 = AF16) * (D$2:D$100 = AG16) * (J$2:J$100 &lt;= 0.05)))), "")</f>
        <v/>
      </c>
      <c r="AM16" s="51" t="str">
        <f t="shared" si="22"/>
        <v>ME</v>
      </c>
      <c r="AP16" s="44" t="str">
        <f t="shared" si="25"/>
        <v>Intervention Deemed Cost-Effective</v>
      </c>
      <c r="AQ16" s="46" t="str">
        <f t="shared" si="26"/>
        <v>OR / RRR</v>
      </c>
      <c r="AR16" s="194" t="str">
        <f t="shared" si="27"/>
        <v>5,33-45,45</v>
      </c>
      <c r="AS16" s="200">
        <f t="shared" si="28"/>
        <v>5.3265437655468499</v>
      </c>
      <c r="AT16" s="46">
        <f t="shared" si="29"/>
        <v>45.45454545454546</v>
      </c>
      <c r="AU16" s="51" t="str" cm="1">
        <f t="array" ref="AU16">_xlfn.TEXTJOIN(", ", TRUE, _xlfn.UNIQUE(IF((AF$2:AF$100 = AP16) * (AM$2:AM$100 = AQ16), AK$2:AK$100, "")))</f>
        <v>Poland, Australia</v>
      </c>
      <c r="AV16" s="51" t="str" cm="1">
        <f t="array" ref="AV16">_xlfn.TEXTJOIN(", ", TRUE, _xlfn.UNIQUE(IF((AF$2:AF$100 = AP16) * (AM$2:AM$100 = AQ16), AL$2:AL$100, "")))</f>
        <v>(Niewada et al., 2013), (Hill et al., 2022)</v>
      </c>
      <c r="AZ16" s="7" t="str">
        <v>Cost-Effectiveness Assessment Acceptable</v>
      </c>
      <c r="BA16" s="1" t="str" cm="1">
        <f t="array" ref="BA16">INDEX($AZ$1:$AZ$100,INT((ROW(A16)-1)/3)+1)</f>
        <v>Zero / Negative Budget Impact</v>
      </c>
      <c r="BB16" s="1" t="str" cm="1">
        <f t="array" ref="BB16">INDEX({"OR","RRR","ME"},MOD(ROW(AB16)-1,3)+1)</f>
        <v>OR</v>
      </c>
      <c r="BD16" s="1" t="str" cm="1">
        <f t="array" ref="BD16">INDEX($AZ$1:$AZ$100,INT((ROW(A16)-1)/2)+1)</f>
        <v>Intervention Deemed Cost-Effective</v>
      </c>
      <c r="BE16" s="6" t="str" cm="1">
        <f t="array" ref="BE16">INDEX({"OR / RRR";"ME"}, MOD(ROW(M16)-1, 2)+1)</f>
        <v>ME</v>
      </c>
    </row>
    <row r="17" spans="1:57" ht="60">
      <c r="A17" s="288" t="s">
        <v>1201</v>
      </c>
      <c r="B17" s="277" t="s">
        <v>878</v>
      </c>
      <c r="C17" s="277" t="s">
        <v>1205</v>
      </c>
      <c r="D17" s="286" t="s">
        <v>879</v>
      </c>
      <c r="E17" s="287">
        <v>8.91</v>
      </c>
      <c r="F17" s="287">
        <v>2.84</v>
      </c>
      <c r="G17" s="287">
        <v>27.89</v>
      </c>
      <c r="H17" s="287"/>
      <c r="I17" s="287"/>
      <c r="J17" s="277">
        <v>1E-3</v>
      </c>
      <c r="K17" s="277" t="s">
        <v>548</v>
      </c>
      <c r="L17" s="279" t="s">
        <v>953</v>
      </c>
      <c r="M17" s="62"/>
      <c r="V17" s="44" t="str">
        <f t="shared" si="0"/>
        <v>Zero / Negative Budget Impact</v>
      </c>
      <c r="W17" s="51" t="str">
        <f t="shared" si="1"/>
        <v>OR</v>
      </c>
      <c r="X17" s="51" t="str">
        <f t="shared" si="2"/>
        <v>8,91-152,58</v>
      </c>
      <c r="Y17" s="51">
        <f t="shared" si="3"/>
        <v>8.91</v>
      </c>
      <c r="Z17" s="51">
        <f t="shared" si="4"/>
        <v>152.58199999999999</v>
      </c>
      <c r="AA17" s="51" t="str" cm="1">
        <f t="array" ref="AA17">IFERROR(_xlfn.TEXTJOIN(", ", TRUE, _xlfn.UNIQUE(_xlfn._xlws.FILTER(K$2:K$100, (A$2:A$100 = V17) * (D$2:D$100 = W17)))), "")</f>
        <v>South Korea, Australia, Scotland</v>
      </c>
      <c r="AB17" s="51" t="str" cm="1">
        <f t="array" ref="AB17">_xlfn.TEXTJOIN(", ", TRUE, _xlfn.UNIQUE(IF((A$2:A$100 = V17) * (D$2:D$100 = W17), L$2:L$100, "")))</f>
        <v>(Park et al., 2012), (Hill et al., 2022), (Charokopou et al., 2015)</v>
      </c>
      <c r="AC17" s="51" t="str">
        <f t="shared" si="5"/>
        <v>OR / RRR</v>
      </c>
      <c r="AF17" s="44" t="str">
        <f t="shared" si="17"/>
        <v>Zero / Negative Budget Impact</v>
      </c>
      <c r="AG17" s="51" t="str">
        <f t="shared" si="18"/>
        <v>OR</v>
      </c>
      <c r="AH17" s="194" t="str">
        <f t="shared" si="19"/>
        <v>8,91-152,58</v>
      </c>
      <c r="AI17" s="51">
        <f t="shared" si="20"/>
        <v>8.91</v>
      </c>
      <c r="AJ17" s="51">
        <f t="shared" si="21"/>
        <v>152.58199999999999</v>
      </c>
      <c r="AK17" s="51" t="str" cm="1">
        <f t="array" ref="AK17">IFERROR(_xlfn.TEXTJOIN(", ", TRUE, _xlfn.UNIQUE(_xlfn._xlws.FILTER(K$2:K$100, (A$2:A$100 = AF17) * (D$2:D$100 = AG17) * (J$2:J$100 &lt;= 0.05)))), "")</f>
        <v>South Korea, Australia, Scotland</v>
      </c>
      <c r="AL17" s="51" t="str" cm="1">
        <f t="array" ref="AL17">IFERROR(_xlfn.TEXTJOIN(", ", TRUE, _xlfn.UNIQUE(_xlfn._xlws.FILTER(L$2:L$100, (A$2:A$100 = AF17) * (D$2:D$100 = AG17) * (J$2:J$100 &lt;= 0.05)))), "")</f>
        <v>(Park et al., 2012), (Hill et al., 2022), (Charokopou et al., 2015)</v>
      </c>
      <c r="AM17" s="51" t="str">
        <f t="shared" si="22"/>
        <v>OR / RRR</v>
      </c>
      <c r="AP17" s="44" t="str">
        <f t="shared" si="25"/>
        <v>Intervention Deemed Cost-Effective</v>
      </c>
      <c r="AQ17" s="46" t="str">
        <f t="shared" si="26"/>
        <v>ME</v>
      </c>
      <c r="AR17" s="194">
        <f t="shared" si="27"/>
        <v>55.64</v>
      </c>
      <c r="AS17" s="200">
        <f t="shared" si="28"/>
        <v>55.64</v>
      </c>
      <c r="AT17" s="46">
        <f t="shared" si="29"/>
        <v>55.64</v>
      </c>
      <c r="AU17" s="51" t="str" cm="1">
        <f t="array" ref="AU17">_xlfn.TEXTJOIN(", ", TRUE, _xlfn.UNIQUE(IF((AF$2:AF$100 = AP17) * (AM$2:AM$100 = AQ17), AK$2:AK$100, "")))</f>
        <v>UK</v>
      </c>
      <c r="AV17" s="51" t="str" cm="1">
        <f t="array" ref="AV17">_xlfn.TEXTJOIN(", ", TRUE, _xlfn.UNIQUE(IF((AF$2:AF$100 = AP17) * (AM$2:AM$100 = AQ17), AL$2:AL$100, "")))</f>
        <v>(Pinto et al., 2020)</v>
      </c>
      <c r="AZ17" s="7" t="str">
        <v>Including Cost-effectiveness assessment (unadjusted)</v>
      </c>
      <c r="BA17" s="1" t="str" cm="1">
        <f t="array" ref="BA17">INDEX($AZ$1:$AZ$100,INT((ROW(A17)-1)/3)+1)</f>
        <v>Zero / Negative Budget Impact</v>
      </c>
      <c r="BB17" s="1" t="str" cm="1">
        <f t="array" ref="BB17">INDEX({"OR","RRR","ME"},MOD(ROW(AB17)-1,3)+1)</f>
        <v>RRR</v>
      </c>
      <c r="BD17" s="1" cm="1">
        <f t="array" ref="BD17">INDEX($AZ$1:$AZ$100,INT((ROW(A17)-1)/2)+1)</f>
        <v>0</v>
      </c>
      <c r="BE17" s="6" t="str" cm="1">
        <f t="array" ref="BE17">INDEX({"OR / RRR";"ME"}, MOD(ROW(M17)-1, 2)+1)</f>
        <v>OR / RRR</v>
      </c>
    </row>
    <row r="18" spans="1:57" ht="105">
      <c r="A18" s="179" t="s">
        <v>1206</v>
      </c>
      <c r="B18" s="169" t="s">
        <v>885</v>
      </c>
      <c r="C18" s="171" t="s">
        <v>1207</v>
      </c>
      <c r="D18" s="170" t="s">
        <v>879</v>
      </c>
      <c r="E18" s="172">
        <f>1/0.187739</f>
        <v>5.3265437655468499</v>
      </c>
      <c r="F18" s="172"/>
      <c r="G18" s="172"/>
      <c r="H18" s="172"/>
      <c r="I18" s="172"/>
      <c r="J18" s="171">
        <v>5.0000000000000001E-3</v>
      </c>
      <c r="K18" s="171" t="s">
        <v>216</v>
      </c>
      <c r="L18" s="173" t="s">
        <v>1079</v>
      </c>
      <c r="M18" s="65"/>
      <c r="V18" s="44" t="str">
        <f t="shared" si="0"/>
        <v>Zero / Negative Budget Impact</v>
      </c>
      <c r="W18" s="51" t="str">
        <f t="shared" si="1"/>
        <v>RRR</v>
      </c>
      <c r="X18" s="51" t="e">
        <f t="shared" si="2"/>
        <v>#VALUE!</v>
      </c>
      <c r="Y18" s="51" t="str">
        <f t="shared" si="3"/>
        <v>NA</v>
      </c>
      <c r="Z18" s="51" t="str">
        <f t="shared" si="4"/>
        <v>NA</v>
      </c>
      <c r="AA18" s="51" t="str" cm="1">
        <f t="array" ref="AA18">IFERROR(_xlfn.TEXTJOIN(", ", TRUE, _xlfn.UNIQUE(_xlfn._xlws.FILTER(K$2:K$100, (A$2:A$100 = V18) * (D$2:D$100 = W18)))), "")</f>
        <v/>
      </c>
      <c r="AB18" s="51" t="str" cm="1">
        <f t="array" ref="AB18">_xlfn.TEXTJOIN(", ", TRUE, _xlfn.UNIQUE(IF((A$2:A$100 = V18) * (D$2:D$100 = W18), L$2:L$100, "")))</f>
        <v/>
      </c>
      <c r="AC18" s="51" t="str">
        <f t="shared" si="5"/>
        <v>OR / RRR</v>
      </c>
      <c r="AF18" s="44" t="str">
        <f t="shared" si="17"/>
        <v>Zero / Negative Budget Impact</v>
      </c>
      <c r="AG18" s="51" t="str">
        <f t="shared" si="18"/>
        <v>RRR</v>
      </c>
      <c r="AH18" s="194" t="e">
        <f t="shared" si="19"/>
        <v>#VALUE!</v>
      </c>
      <c r="AI18" s="51" t="str">
        <f t="shared" si="20"/>
        <v>NA</v>
      </c>
      <c r="AJ18" s="51" t="str">
        <f t="shared" si="21"/>
        <v>NA</v>
      </c>
      <c r="AK18" s="51" t="str" cm="1">
        <f t="array" ref="AK18">IFERROR(_xlfn.TEXTJOIN(", ", TRUE, _xlfn.UNIQUE(_xlfn._xlws.FILTER(K$2:K$100, (A$2:A$100 = AF18) * (D$2:D$100 = AG18) * (J$2:J$100 &lt;= 0.05)))), "")</f>
        <v/>
      </c>
      <c r="AL18" s="51" t="str" cm="1">
        <f t="array" ref="AL18">IFERROR(_xlfn.TEXTJOIN(", ", TRUE, _xlfn.UNIQUE(_xlfn._xlws.FILTER(L$2:L$100, (A$2:A$100 = AF18) * (D$2:D$100 = AG18) * (J$2:J$100 &lt;= 0.05)))), "")</f>
        <v/>
      </c>
      <c r="AM18" s="51" t="str">
        <f t="shared" si="22"/>
        <v>OR / RRR</v>
      </c>
      <c r="AP18" s="44">
        <f t="shared" si="25"/>
        <v>0</v>
      </c>
      <c r="AQ18" s="46" t="str">
        <f t="shared" si="26"/>
        <v>OR / RRR</v>
      </c>
      <c r="AR18" s="194" t="str">
        <f t="shared" si="27"/>
        <v>NO DATA</v>
      </c>
      <c r="AS18" s="200">
        <f t="shared" si="28"/>
        <v>0</v>
      </c>
      <c r="AT18" s="46">
        <f t="shared" si="29"/>
        <v>0</v>
      </c>
      <c r="AU18" s="51" t="str" cm="1">
        <f t="array" ref="AU18">_xlfn.TEXTJOIN(", ", TRUE, _xlfn.UNIQUE(IF((AF$2:AF$100 = AP18) * (AM$2:AM$100 = AQ18), AK$2:AK$100, "")))</f>
        <v>Scotland</v>
      </c>
      <c r="AV18" s="51" t="str" cm="1">
        <f t="array" ref="AV18">_xlfn.TEXTJOIN(", ", TRUE, _xlfn.UNIQUE(IF((AF$2:AF$100 = AP18) * (AM$2:AM$100 = AQ18), AL$2:AL$100, "")))</f>
        <v>(Charokopou et al., 2015)</v>
      </c>
      <c r="AZ18" s="7" t="str">
        <v>Including Cost-effectiveness assessment</v>
      </c>
      <c r="BA18" s="1" t="str" cm="1">
        <f t="array" ref="BA18">INDEX($AZ$1:$AZ$100,INT((ROW(A18)-1)/3)+1)</f>
        <v>Zero / Negative Budget Impact</v>
      </c>
      <c r="BB18" s="1" t="str" cm="1">
        <f t="array" ref="BB18">INDEX({"OR","RRR","ME"},MOD(ROW(AB18)-1,3)+1)</f>
        <v>ME</v>
      </c>
      <c r="BD18" s="1" cm="1">
        <f t="array" ref="BD18">INDEX($AZ$1:$AZ$100,INT((ROW(A18)-1)/2)+1)</f>
        <v>0</v>
      </c>
      <c r="BE18" s="6" t="str" cm="1">
        <f t="array" ref="BE18">INDEX({"OR / RRR";"ME"}, MOD(ROW(M18)-1, 2)+1)</f>
        <v>ME</v>
      </c>
    </row>
    <row r="19" spans="1:57" ht="60">
      <c r="A19" s="179" t="s">
        <v>1206</v>
      </c>
      <c r="B19" s="169" t="s">
        <v>907</v>
      </c>
      <c r="C19" s="171" t="s">
        <v>1208</v>
      </c>
      <c r="D19" s="170" t="s">
        <v>894</v>
      </c>
      <c r="E19" s="172">
        <v>55.64</v>
      </c>
      <c r="F19" s="172">
        <v>38.950000000000003</v>
      </c>
      <c r="G19" s="172">
        <v>72.33</v>
      </c>
      <c r="H19" s="172"/>
      <c r="I19" s="172"/>
      <c r="J19" s="171">
        <v>1E-3</v>
      </c>
      <c r="K19" s="171" t="s">
        <v>840</v>
      </c>
      <c r="L19" s="173" t="s">
        <v>990</v>
      </c>
      <c r="M19" s="65"/>
      <c r="V19" s="44" t="str">
        <f t="shared" si="0"/>
        <v>Zero / Negative Budget Impact</v>
      </c>
      <c r="W19" s="51" t="str">
        <f t="shared" si="1"/>
        <v>ME</v>
      </c>
      <c r="X19" s="51" t="e">
        <f t="shared" si="2"/>
        <v>#VALUE!</v>
      </c>
      <c r="Y19" s="51" t="str">
        <f t="shared" si="3"/>
        <v>NA</v>
      </c>
      <c r="Z19" s="51" t="str">
        <f t="shared" si="4"/>
        <v>NA</v>
      </c>
      <c r="AA19" s="51" t="str" cm="1">
        <f t="array" ref="AA19">IFERROR(_xlfn.TEXTJOIN(", ", TRUE, _xlfn.UNIQUE(_xlfn._xlws.FILTER(K$2:K$100, (A$2:A$100 = V19) * (D$2:D$100 = W19)))), "")</f>
        <v/>
      </c>
      <c r="AB19" s="51" t="str" cm="1">
        <f t="array" ref="AB19">_xlfn.TEXTJOIN(", ", TRUE, _xlfn.UNIQUE(IF((A$2:A$100 = V19) * (D$2:D$100 = W19), L$2:L$100, "")))</f>
        <v/>
      </c>
      <c r="AC19" s="51" t="str">
        <f t="shared" si="5"/>
        <v>ME</v>
      </c>
      <c r="AF19" s="44" t="str">
        <f t="shared" si="17"/>
        <v>Zero / Negative Budget Impact</v>
      </c>
      <c r="AG19" s="51" t="str">
        <f t="shared" si="18"/>
        <v>ME</v>
      </c>
      <c r="AH19" s="194" t="e">
        <f t="shared" si="19"/>
        <v>#VALUE!</v>
      </c>
      <c r="AI19" s="51" t="str">
        <f t="shared" si="20"/>
        <v>NA</v>
      </c>
      <c r="AJ19" s="51" t="str">
        <f t="shared" si="21"/>
        <v>NA</v>
      </c>
      <c r="AK19" s="51" t="str" cm="1">
        <f t="array" ref="AK19">IFERROR(_xlfn.TEXTJOIN(", ", TRUE, _xlfn.UNIQUE(_xlfn._xlws.FILTER(K$2:K$100, (A$2:A$100 = AF19) * (D$2:D$100 = AG19) * (J$2:J$100 &lt;= 0.05)))), "")</f>
        <v/>
      </c>
      <c r="AL19" s="51" t="str" cm="1">
        <f t="array" ref="AL19">IFERROR(_xlfn.TEXTJOIN(", ", TRUE, _xlfn.UNIQUE(_xlfn._xlws.FILTER(L$2:L$100, (A$2:A$100 = AF19) * (D$2:D$100 = AG19) * (J$2:J$100 &lt;= 0.05)))), "")</f>
        <v/>
      </c>
      <c r="AM19" s="51" t="str">
        <f t="shared" si="22"/>
        <v>ME</v>
      </c>
      <c r="AP19" s="44">
        <f t="shared" si="25"/>
        <v>0</v>
      </c>
      <c r="AQ19" s="46" t="str">
        <f t="shared" si="26"/>
        <v>ME</v>
      </c>
      <c r="AR19" s="194" t="str">
        <f t="shared" si="27"/>
        <v>NO DATA</v>
      </c>
      <c r="AS19" s="200">
        <f t="shared" si="28"/>
        <v>0</v>
      </c>
      <c r="AT19" s="46">
        <f t="shared" si="29"/>
        <v>0</v>
      </c>
      <c r="AU19" s="51" t="str" cm="1">
        <f t="array" ref="AU19">_xlfn.TEXTJOIN(", ", TRUE, _xlfn.UNIQUE(IF((AF$2:AF$100 = AP19) * (AM$2:AM$100 = AQ19), AK$2:AK$100, "")))</f>
        <v/>
      </c>
      <c r="AV19" s="51" t="str" cm="1">
        <f t="array" ref="AV19">_xlfn.TEXTJOIN(", ", TRUE, _xlfn.UNIQUE(IF((AF$2:AF$100 = AP19) * (AM$2:AM$100 = AQ19), AL$2:AL$100, "")))</f>
        <v/>
      </c>
      <c r="AZ19" s="7" t="str">
        <v>Including Price Negotiations (unadjusted)</v>
      </c>
      <c r="BA19" s="1" t="str" cm="1">
        <f t="array" ref="BA19">INDEX($AZ$1:$AZ$100,INT((ROW(A19)-1)/3)+1)</f>
        <v>Cost of Therapy Acceptable</v>
      </c>
      <c r="BB19" s="1" t="str" cm="1">
        <f t="array" ref="BB19">INDEX({"OR","RRR","ME"},MOD(ROW(AB19)-1,3)+1)</f>
        <v>OR</v>
      </c>
      <c r="BD19" s="1" t="str" cm="1">
        <f t="array" ref="BD19">INDEX($AZ$1:$AZ$100,INT((ROW(A19)-1)/2)+1)</f>
        <v>Economic Uncertainties</v>
      </c>
      <c r="BE19" s="6" t="str" cm="1">
        <f t="array" ref="BE19">INDEX({"OR / RRR";"ME"}, MOD(ROW(M19)-1, 2)+1)</f>
        <v>OR / RRR</v>
      </c>
    </row>
    <row r="20" spans="1:57" ht="60">
      <c r="A20" s="179" t="s">
        <v>1206</v>
      </c>
      <c r="B20" s="169" t="s">
        <v>907</v>
      </c>
      <c r="C20" s="171" t="s">
        <v>1208</v>
      </c>
      <c r="D20" s="170" t="s">
        <v>894</v>
      </c>
      <c r="E20" s="172">
        <v>13.56</v>
      </c>
      <c r="F20" s="172">
        <v>-46.97</v>
      </c>
      <c r="G20" s="172">
        <v>74.09</v>
      </c>
      <c r="H20" s="172"/>
      <c r="I20" s="172"/>
      <c r="J20" s="171">
        <v>0.65300000000000002</v>
      </c>
      <c r="K20" s="171" t="s">
        <v>631</v>
      </c>
      <c r="L20" s="173" t="s">
        <v>990</v>
      </c>
      <c r="M20" s="65"/>
      <c r="V20" s="44" t="str">
        <f t="shared" si="0"/>
        <v>Cost of Therapy Acceptable</v>
      </c>
      <c r="W20" s="51" t="str">
        <f t="shared" si="1"/>
        <v>OR</v>
      </c>
      <c r="X20" s="51">
        <f t="shared" si="2"/>
        <v>3.03</v>
      </c>
      <c r="Y20" s="51">
        <f t="shared" si="3"/>
        <v>3.03</v>
      </c>
      <c r="Z20" s="51">
        <f t="shared" si="4"/>
        <v>3.03</v>
      </c>
      <c r="AA20" s="51" t="str" cm="1">
        <f t="array" ref="AA20">IFERROR(_xlfn.TEXTJOIN(", ", TRUE, _xlfn.UNIQUE(_xlfn._xlws.FILTER(K$2:K$100, (A$2:A$100 = V20) * (D$2:D$100 = W20)))), "")</f>
        <v>Poland</v>
      </c>
      <c r="AB20" s="51" t="str" cm="1">
        <f t="array" ref="AB20">_xlfn.TEXTJOIN(", ", TRUE, _xlfn.UNIQUE(IF((A$2:A$100 = V20) * (D$2:D$100 = W20), L$2:L$100, "")))</f>
        <v>(Malinowski et al., 2016)</v>
      </c>
      <c r="AC20" s="51" t="str">
        <f t="shared" si="5"/>
        <v>OR / RRR</v>
      </c>
      <c r="AF20" s="44" t="str">
        <f t="shared" si="17"/>
        <v>Cost of Therapy Acceptable</v>
      </c>
      <c r="AG20" s="51" t="str">
        <f t="shared" si="18"/>
        <v>OR</v>
      </c>
      <c r="AH20" s="194">
        <f t="shared" si="19"/>
        <v>3.03</v>
      </c>
      <c r="AI20" s="51">
        <f t="shared" si="20"/>
        <v>3.03</v>
      </c>
      <c r="AJ20" s="51">
        <f t="shared" si="21"/>
        <v>3.03</v>
      </c>
      <c r="AK20" s="51" t="str" cm="1">
        <f t="array" ref="AK20">IFERROR(_xlfn.TEXTJOIN(", ", TRUE, _xlfn.UNIQUE(_xlfn._xlws.FILTER(K$2:K$100, (A$2:A$100 = AF20) * (D$2:D$100 = AG20) * (J$2:J$100 &lt;= 0.05)))), "")</f>
        <v>Poland</v>
      </c>
      <c r="AL20" s="51" t="str" cm="1">
        <f t="array" ref="AL20">IFERROR(_xlfn.TEXTJOIN(", ", TRUE, _xlfn.UNIQUE(_xlfn._xlws.FILTER(L$2:L$100, (A$2:A$100 = AF20) * (D$2:D$100 = AG20) * (J$2:J$100 &lt;= 0.05)))), "")</f>
        <v>(Malinowski et al., 2016)</v>
      </c>
      <c r="AM20" s="51" t="str">
        <f t="shared" si="22"/>
        <v>OR / RRR</v>
      </c>
      <c r="AP20" s="44" t="str">
        <f t="shared" si="25"/>
        <v>Economic Uncertainties</v>
      </c>
      <c r="AQ20" s="46" t="str">
        <f t="shared" si="26"/>
        <v>OR / RRR</v>
      </c>
      <c r="AR20" s="194" t="str">
        <f t="shared" si="27"/>
        <v>0-0,75</v>
      </c>
      <c r="AS20" s="200">
        <f t="shared" si="28"/>
        <v>2E-3</v>
      </c>
      <c r="AT20" s="46">
        <f t="shared" si="29"/>
        <v>0.747</v>
      </c>
      <c r="AU20" s="51" t="str" cm="1">
        <f t="array" ref="AU20">_xlfn.TEXTJOIN(", ", TRUE, _xlfn.UNIQUE(IF((AF$2:AF$100 = AP20) * (AM$2:AM$100 = AQ20), AK$2:AK$100, "")))</f>
        <v>Australia, South Korea, Australia, Canada-(CADTH), Canada-(INESSS), England, France-(HAS), Germany, Scotland, Sweden</v>
      </c>
      <c r="AV20" s="51" t="str" cm="1">
        <f t="array" ref="AV20">_xlfn.TEXTJOIN(", ", TRUE, _xlfn.UNIQUE(IF((AF$2:AF$100 = AP20) * (AM$2:AM$100 = AQ20), AL$2:AL$100, "")))</f>
        <v>(Hill et al., 2022), (Karikios et al., 2017), (Bae et al., 2018), (Haque et al., 2023), (Kanavos et al., 2023)</v>
      </c>
      <c r="AZ20" s="7" t="str">
        <v>Intervention Expenditure</v>
      </c>
      <c r="BA20" s="1" t="str" cm="1">
        <f t="array" ref="BA20">INDEX($AZ$1:$AZ$100,INT((ROW(A20)-1)/3)+1)</f>
        <v>Cost of Therapy Acceptable</v>
      </c>
      <c r="BB20" s="1" t="str" cm="1">
        <f t="array" ref="BB20">INDEX({"OR","RRR","ME"},MOD(ROW(AB20)-1,3)+1)</f>
        <v>RRR</v>
      </c>
      <c r="BD20" s="1" t="str" cm="1">
        <f t="array" ref="BD20">INDEX($AZ$1:$AZ$100,INT((ROW(A20)-1)/2)+1)</f>
        <v>Economic Uncertainties</v>
      </c>
      <c r="BE20" s="6" t="str" cm="1">
        <f t="array" ref="BE20">INDEX({"OR / RRR";"ME"}, MOD(ROW(M20)-1, 2)+1)</f>
        <v>ME</v>
      </c>
    </row>
    <row r="21" spans="1:57" ht="60">
      <c r="A21" s="179" t="s">
        <v>1206</v>
      </c>
      <c r="B21" s="169" t="s">
        <v>878</v>
      </c>
      <c r="C21" s="171" t="s">
        <v>1209</v>
      </c>
      <c r="D21" s="169" t="s">
        <v>879</v>
      </c>
      <c r="E21" s="180">
        <v>1</v>
      </c>
      <c r="F21" s="180">
        <v>1</v>
      </c>
      <c r="G21" s="180">
        <v>1</v>
      </c>
      <c r="H21" s="180"/>
      <c r="I21" s="180"/>
      <c r="J21" s="171">
        <v>0.73650000000000004</v>
      </c>
      <c r="K21" s="171" t="s">
        <v>880</v>
      </c>
      <c r="L21" s="173" t="s">
        <v>881</v>
      </c>
      <c r="M21" s="65"/>
      <c r="V21" s="44" t="str">
        <f t="shared" si="0"/>
        <v>Cost of Therapy Acceptable</v>
      </c>
      <c r="W21" s="51" t="str">
        <f t="shared" si="1"/>
        <v>RRR</v>
      </c>
      <c r="X21" s="51" t="e">
        <f t="shared" si="2"/>
        <v>#VALUE!</v>
      </c>
      <c r="Y21" s="51" t="str">
        <f t="shared" si="3"/>
        <v>NA</v>
      </c>
      <c r="Z21" s="51" t="str">
        <f t="shared" si="4"/>
        <v>NA</v>
      </c>
      <c r="AA21" s="51" t="str" cm="1">
        <f t="array" ref="AA21">IFERROR(_xlfn.TEXTJOIN(", ", TRUE, _xlfn.UNIQUE(_xlfn._xlws.FILTER(K$2:K$100, (A$2:A$100 = V21) * (D$2:D$100 = W21)))), "")</f>
        <v/>
      </c>
      <c r="AB21" s="51" t="str" cm="1">
        <f t="array" ref="AB21">_xlfn.TEXTJOIN(", ", TRUE, _xlfn.UNIQUE(IF((A$2:A$100 = V21) * (D$2:D$100 = W21), L$2:L$100, "")))</f>
        <v/>
      </c>
      <c r="AC21" s="51" t="str">
        <f t="shared" si="5"/>
        <v>OR / RRR</v>
      </c>
      <c r="AF21" s="44" t="str">
        <f t="shared" si="17"/>
        <v>Cost of Therapy Acceptable</v>
      </c>
      <c r="AG21" s="51" t="str">
        <f t="shared" si="18"/>
        <v>RRR</v>
      </c>
      <c r="AH21" s="194" t="e">
        <f t="shared" si="19"/>
        <v>#VALUE!</v>
      </c>
      <c r="AI21" s="51" t="str">
        <f t="shared" si="20"/>
        <v>NA</v>
      </c>
      <c r="AJ21" s="51" t="str">
        <f t="shared" si="21"/>
        <v>NA</v>
      </c>
      <c r="AK21" s="51" t="str" cm="1">
        <f t="array" ref="AK21">IFERROR(_xlfn.TEXTJOIN(", ", TRUE, _xlfn.UNIQUE(_xlfn._xlws.FILTER(K$2:K$100, (A$2:A$100 = AF21) * (D$2:D$100 = AG21) * (J$2:J$100 &lt;= 0.05)))), "")</f>
        <v/>
      </c>
      <c r="AL21" s="51" t="str" cm="1">
        <f t="array" ref="AL21">IFERROR(_xlfn.TEXTJOIN(", ", TRUE, _xlfn.UNIQUE(_xlfn._xlws.FILTER(L$2:L$100, (A$2:A$100 = AF21) * (D$2:D$100 = AG21) * (J$2:J$100 &lt;= 0.05)))), "")</f>
        <v/>
      </c>
      <c r="AM21" s="51" t="str">
        <f t="shared" si="22"/>
        <v>OR / RRR</v>
      </c>
      <c r="AP21" s="44" t="str">
        <f t="shared" si="25"/>
        <v>Economic Uncertainties</v>
      </c>
      <c r="AQ21" s="46" t="str">
        <f t="shared" si="26"/>
        <v>ME</v>
      </c>
      <c r="AR21" s="194" t="str">
        <f t="shared" si="27"/>
        <v>NO DATA</v>
      </c>
      <c r="AS21" s="200">
        <f t="shared" si="28"/>
        <v>0</v>
      </c>
      <c r="AT21" s="46">
        <f t="shared" si="29"/>
        <v>0</v>
      </c>
      <c r="AU21" s="51" t="str" cm="1">
        <f t="array" ref="AU21">_xlfn.TEXTJOIN(", ", TRUE, _xlfn.UNIQUE(IF((AF$2:AF$100 = AP21) * (AM$2:AM$100 = AQ21), AK$2:AK$100, "")))</f>
        <v/>
      </c>
      <c r="AV21" s="51" t="str" cm="1">
        <f t="array" ref="AV21">_xlfn.TEXTJOIN(", ", TRUE, _xlfn.UNIQUE(IF((AF$2:AF$100 = AP21) * (AM$2:AM$100 = AQ21), AL$2:AL$100, "")))</f>
        <v/>
      </c>
      <c r="AZ21" s="7" t="str">
        <v>Patient Population &gt;10k</v>
      </c>
      <c r="BA21" s="1" t="str" cm="1">
        <f t="array" ref="BA21">INDEX($AZ$1:$AZ$100,INT((ROW(A21)-1)/3)+1)</f>
        <v>Cost of Therapy Acceptable</v>
      </c>
      <c r="BB21" s="1" t="str" cm="1">
        <f t="array" ref="BB21">INDEX({"OR","RRR","ME"},MOD(ROW(AB21)-1,3)+1)</f>
        <v>ME</v>
      </c>
      <c r="BD21" s="1" t="str" cm="1">
        <f t="array" ref="BD21">INDEX($AZ$1:$AZ$100,INT((ROW(A21)-1)/2)+1)</f>
        <v>Validiity of Cost-Effectiveness Assessment Acceptable</v>
      </c>
      <c r="BE21" s="6" t="str" cm="1">
        <f t="array" ref="BE21">INDEX({"OR / RRR";"ME"}, MOD(ROW(M21)-1, 2)+1)</f>
        <v>OR / RRR</v>
      </c>
    </row>
    <row r="22" spans="1:57" ht="255">
      <c r="A22" s="179" t="s">
        <v>1206</v>
      </c>
      <c r="B22" s="169" t="s">
        <v>885</v>
      </c>
      <c r="C22" s="171" t="s">
        <v>1210</v>
      </c>
      <c r="D22" s="169" t="s">
        <v>879</v>
      </c>
      <c r="E22" s="180">
        <f>1/0.022</f>
        <v>45.45454545454546</v>
      </c>
      <c r="F22" s="180">
        <f>1/0.113</f>
        <v>8.8495575221238933</v>
      </c>
      <c r="G22" s="180">
        <f>1/0.004</f>
        <v>250</v>
      </c>
      <c r="H22" s="180"/>
      <c r="I22" s="180"/>
      <c r="J22" s="171">
        <v>0.05</v>
      </c>
      <c r="K22" s="171" t="s">
        <v>365</v>
      </c>
      <c r="L22" s="173" t="s">
        <v>1136</v>
      </c>
      <c r="M22" s="65"/>
      <c r="V22" s="44" t="str">
        <f t="shared" si="0"/>
        <v>Cost of Therapy Acceptable</v>
      </c>
      <c r="W22" s="51" t="str">
        <f t="shared" si="1"/>
        <v>ME</v>
      </c>
      <c r="X22" s="51" t="e">
        <f t="shared" si="2"/>
        <v>#VALUE!</v>
      </c>
      <c r="Y22" s="51" t="str">
        <f t="shared" si="3"/>
        <v>NA</v>
      </c>
      <c r="Z22" s="51" t="str">
        <f t="shared" si="4"/>
        <v>NA</v>
      </c>
      <c r="AA22" s="51" t="str" cm="1">
        <f t="array" ref="AA22">IFERROR(_xlfn.TEXTJOIN(", ", TRUE, _xlfn.UNIQUE(_xlfn._xlws.FILTER(K$2:K$100, (A$2:A$100 = V22) * (D$2:D$100 = W22)))), "")</f>
        <v/>
      </c>
      <c r="AB22" s="51" t="str" cm="1">
        <f t="array" ref="AB22">_xlfn.TEXTJOIN(", ", TRUE, _xlfn.UNIQUE(IF((A$2:A$100 = V22) * (D$2:D$100 = W22), L$2:L$100, "")))</f>
        <v/>
      </c>
      <c r="AC22" s="51" t="str">
        <f t="shared" si="5"/>
        <v>ME</v>
      </c>
      <c r="AF22" s="44" t="str">
        <f t="shared" si="17"/>
        <v>Cost of Therapy Acceptable</v>
      </c>
      <c r="AG22" s="51" t="str">
        <f t="shared" si="18"/>
        <v>ME</v>
      </c>
      <c r="AH22" s="194" t="e">
        <f t="shared" si="19"/>
        <v>#VALUE!</v>
      </c>
      <c r="AI22" s="51" t="str">
        <f t="shared" si="20"/>
        <v>NA</v>
      </c>
      <c r="AJ22" s="51" t="str">
        <f t="shared" si="21"/>
        <v>NA</v>
      </c>
      <c r="AK22" s="51" t="str" cm="1">
        <f t="array" ref="AK22">IFERROR(_xlfn.TEXTJOIN(", ", TRUE, _xlfn.UNIQUE(_xlfn._xlws.FILTER(K$2:K$100, (A$2:A$100 = AF22) * (D$2:D$100 = AG22) * (J$2:J$100 &lt;= 0.05)))), "")</f>
        <v/>
      </c>
      <c r="AL22" s="51" t="str" cm="1">
        <f t="array" ref="AL22">IFERROR(_xlfn.TEXTJOIN(", ", TRUE, _xlfn.UNIQUE(_xlfn._xlws.FILTER(L$2:L$100, (A$2:A$100 = AF22) * (D$2:D$100 = AG22) * (J$2:J$100 &lt;= 0.05)))), "")</f>
        <v/>
      </c>
      <c r="AM22" s="51" t="str">
        <f t="shared" si="22"/>
        <v>ME</v>
      </c>
      <c r="AP22" s="44" t="str">
        <f t="shared" si="25"/>
        <v>Validiity of Cost-Effectiveness Assessment Acceptable</v>
      </c>
      <c r="AQ22" s="46" t="str">
        <f t="shared" si="26"/>
        <v>OR / RRR</v>
      </c>
      <c r="AR22" s="194" t="str">
        <f t="shared" si="27"/>
        <v>NO DATA</v>
      </c>
      <c r="AS22" s="200">
        <f t="shared" si="28"/>
        <v>0</v>
      </c>
      <c r="AT22" s="46">
        <f t="shared" si="29"/>
        <v>0</v>
      </c>
      <c r="AU22" s="51" t="str" cm="1">
        <f t="array" ref="AU22">_xlfn.TEXTJOIN(", ", TRUE, _xlfn.UNIQUE(IF((AF$2:AF$100 = AP22) * (AM$2:AM$100 = AQ22), AK$2:AK$100, "")))</f>
        <v>Australia</v>
      </c>
      <c r="AV22" s="51" t="str" cm="1">
        <f t="array" ref="AV22">_xlfn.TEXTJOIN(", ", TRUE, _xlfn.UNIQUE(IF((AF$2:AF$100 = AP22) * (AM$2:AM$100 = AQ22), AL$2:AL$100, "")))</f>
        <v>(A. Harris et al., 2016)</v>
      </c>
      <c r="AZ22" s="7" t="str">
        <v>Risk Sharing Agreement</v>
      </c>
      <c r="BA22" s="1" t="str" cm="1">
        <f t="array" ref="BA22">INDEX($AZ$1:$AZ$100,INT((ROW(A22)-1)/3)+1)</f>
        <v>Intervention Deemed Cost-Effective</v>
      </c>
      <c r="BB22" s="1" t="str" cm="1">
        <f t="array" ref="BB22">INDEX({"OR","RRR","ME"},MOD(ROW(AB22)-1,3)+1)</f>
        <v>OR</v>
      </c>
      <c r="BD22" s="1" t="str" cm="1">
        <f t="array" ref="BD22">INDEX($AZ$1:$AZ$100,INT((ROW(A22)-1)/2)+1)</f>
        <v>Validiity of Cost-Effectiveness Assessment Acceptable</v>
      </c>
      <c r="BE22" s="6" t="str" cm="1">
        <f t="array" ref="BE22">INDEX({"OR / RRR";"ME"}, MOD(ROW(M22)-1, 2)+1)</f>
        <v>ME</v>
      </c>
    </row>
    <row r="23" spans="1:57" ht="45">
      <c r="A23" s="179"/>
      <c r="B23" s="169" t="s">
        <v>878</v>
      </c>
      <c r="C23" s="171" t="s">
        <v>1211</v>
      </c>
      <c r="D23" s="169" t="s">
        <v>879</v>
      </c>
      <c r="E23" s="180">
        <v>10.3</v>
      </c>
      <c r="F23" s="180">
        <v>4.6100000000000003</v>
      </c>
      <c r="G23" s="180">
        <v>23.05</v>
      </c>
      <c r="H23" s="180"/>
      <c r="I23" s="180"/>
      <c r="J23" s="171">
        <v>1E-3</v>
      </c>
      <c r="K23" s="171" t="s">
        <v>548</v>
      </c>
      <c r="L23" s="173" t="s">
        <v>953</v>
      </c>
      <c r="M23" s="65"/>
      <c r="V23" s="44" t="str">
        <f t="shared" si="0"/>
        <v>Intervention Deemed Cost-Effective</v>
      </c>
      <c r="W23" s="51" t="str">
        <f t="shared" si="1"/>
        <v>OR</v>
      </c>
      <c r="X23" s="51" t="str">
        <f t="shared" si="2"/>
        <v>1-45,45</v>
      </c>
      <c r="Y23" s="51">
        <f t="shared" si="3"/>
        <v>1</v>
      </c>
      <c r="Z23" s="51">
        <f t="shared" si="4"/>
        <v>45.45454545454546</v>
      </c>
      <c r="AA23" s="51" t="str" cm="1">
        <f t="array" ref="AA23">IFERROR(_xlfn.TEXTJOIN(", ", TRUE, _xlfn.UNIQUE(_xlfn._xlws.FILTER(K$2:K$100, (A$2:A$100 = V23) * (D$2:D$100 = W23)))), "")</f>
        <v>Poland, Wales (UK), Australia</v>
      </c>
      <c r="AB23" s="51" t="str" cm="1">
        <f t="array" ref="AB23">_xlfn.TEXTJOIN(", ", TRUE, _xlfn.UNIQUE(IF((A$2:A$100 = V23) * (D$2:D$100 = W23), L$2:L$100, "")))</f>
        <v>(Niewada et al., 2013), (Linley &amp; Hughes, 2012), (Hill et al., 2022)</v>
      </c>
      <c r="AC23" s="51" t="str">
        <f t="shared" si="5"/>
        <v>OR / RRR</v>
      </c>
      <c r="AF23" s="44" t="str">
        <f t="shared" si="17"/>
        <v>Intervention Deemed Cost-Effective</v>
      </c>
      <c r="AG23" s="51" t="str">
        <f t="shared" si="18"/>
        <v>OR</v>
      </c>
      <c r="AH23" s="194" t="str">
        <f t="shared" si="19"/>
        <v>5,33-45,45</v>
      </c>
      <c r="AI23" s="51">
        <f t="shared" si="20"/>
        <v>5.3265437655468499</v>
      </c>
      <c r="AJ23" s="51">
        <f t="shared" si="21"/>
        <v>45.45454545454546</v>
      </c>
      <c r="AK23" s="51" t="str" cm="1">
        <f t="array" ref="AK23">IFERROR(_xlfn.TEXTJOIN(", ", TRUE, _xlfn.UNIQUE(_xlfn._xlws.FILTER(K$2:K$100, (A$2:A$100 = AF23) * (D$2:D$100 = AG23) * (J$2:J$100 &lt;= 0.05)))), "")</f>
        <v>Poland, Australia</v>
      </c>
      <c r="AL23" s="51" t="str" cm="1">
        <f t="array" ref="AL23">IFERROR(_xlfn.TEXTJOIN(", ", TRUE, _xlfn.UNIQUE(_xlfn._xlws.FILTER(L$2:L$100, (A$2:A$100 = AF23) * (D$2:D$100 = AG23) * (J$2:J$100 &lt;= 0.05)))), "")</f>
        <v>(Niewada et al., 2013), (Hill et al., 2022)</v>
      </c>
      <c r="AM23" s="51" t="str">
        <f t="shared" si="22"/>
        <v>OR / RRR</v>
      </c>
      <c r="AP23" s="44" t="str">
        <f t="shared" si="25"/>
        <v>Validiity of Cost-Effectiveness Assessment Acceptable</v>
      </c>
      <c r="AQ23" s="46" t="str">
        <f t="shared" si="26"/>
        <v>ME</v>
      </c>
      <c r="AR23" s="194" t="str">
        <f t="shared" si="27"/>
        <v>NO DATA</v>
      </c>
      <c r="AS23" s="200">
        <f t="shared" si="28"/>
        <v>0</v>
      </c>
      <c r="AT23" s="46">
        <f t="shared" si="29"/>
        <v>0</v>
      </c>
      <c r="AU23" s="51" t="str" cm="1">
        <f t="array" ref="AU23">_xlfn.TEXTJOIN(", ", TRUE, _xlfn.UNIQUE(IF((AF$2:AF$100 = AP23) * (AM$2:AM$100 = AQ23), AK$2:AK$100, "")))</f>
        <v/>
      </c>
      <c r="AV23" s="51" t="str" cm="1">
        <f t="array" ref="AV23">_xlfn.TEXTJOIN(", ", TRUE, _xlfn.UNIQUE(IF((AF$2:AF$100 = AP23) * (AM$2:AM$100 = AQ23), AL$2:AL$100, "")))</f>
        <v/>
      </c>
      <c r="AZ23" s="7" t="str">
        <v>Probablistic Sensitivity Analysis Presence</v>
      </c>
      <c r="BA23" s="1" t="str" cm="1">
        <f t="array" ref="BA23">INDEX($AZ$1:$AZ$100,INT((ROW(A23)-1)/3)+1)</f>
        <v>Intervention Deemed Cost-Effective</v>
      </c>
      <c r="BB23" s="1" t="str" cm="1">
        <f t="array" ref="BB23">INDEX({"OR","RRR","ME"},MOD(ROW(AB23)-1,3)+1)</f>
        <v>RRR</v>
      </c>
      <c r="BD23" s="1" t="str" cm="1">
        <f t="array" ref="BD23">INDEX($AZ$1:$AZ$100,INT((ROW(A23)-1)/2)+1)</f>
        <v>ICER (10K int$ / QALY)</v>
      </c>
      <c r="BE23" s="6" t="str" cm="1">
        <f t="array" ref="BE23">INDEX({"OR / RRR";"ME"}, MOD(ROW(M23)-1, 2)+1)</f>
        <v>OR / RRR</v>
      </c>
    </row>
    <row r="24" spans="1:57" ht="263.25" customHeight="1">
      <c r="A24" s="272" t="s">
        <v>1212</v>
      </c>
      <c r="B24" s="268" t="s">
        <v>885</v>
      </c>
      <c r="C24" s="269" t="s">
        <v>1213</v>
      </c>
      <c r="D24" s="268" t="s">
        <v>879</v>
      </c>
      <c r="E24" s="270">
        <v>0.84499999999999997</v>
      </c>
      <c r="F24" s="270"/>
      <c r="G24" s="270"/>
      <c r="H24" s="270">
        <v>0.104</v>
      </c>
      <c r="I24" s="270"/>
      <c r="J24" s="269" t="s">
        <v>886</v>
      </c>
      <c r="K24" s="269" t="s">
        <v>887</v>
      </c>
      <c r="L24" s="271" t="s">
        <v>888</v>
      </c>
      <c r="M24" s="65"/>
      <c r="V24" s="44" t="str">
        <f t="shared" si="0"/>
        <v>Intervention Deemed Cost-Effective</v>
      </c>
      <c r="W24" s="51" t="str">
        <f t="shared" si="1"/>
        <v>RRR</v>
      </c>
      <c r="X24" s="51" t="e">
        <f t="shared" si="2"/>
        <v>#VALUE!</v>
      </c>
      <c r="Y24" s="51" t="str">
        <f t="shared" si="3"/>
        <v>NA</v>
      </c>
      <c r="Z24" s="51" t="str">
        <f t="shared" si="4"/>
        <v>NA</v>
      </c>
      <c r="AA24" s="51" t="str" cm="1">
        <f t="array" ref="AA24">IFERROR(_xlfn.TEXTJOIN(", ", TRUE, _xlfn.UNIQUE(_xlfn._xlws.FILTER(K$2:K$100, (A$2:A$100 = V24) * (D$2:D$100 = W24)))), "")</f>
        <v/>
      </c>
      <c r="AB24" s="51" t="str" cm="1">
        <f t="array" ref="AB24">_xlfn.TEXTJOIN(", ", TRUE, _xlfn.UNIQUE(IF((A$2:A$100 = V24) * (D$2:D$100 = W24), L$2:L$100, "")))</f>
        <v/>
      </c>
      <c r="AC24" s="51" t="str">
        <f t="shared" si="5"/>
        <v>OR / RRR</v>
      </c>
      <c r="AF24" s="44" t="str">
        <f t="shared" si="17"/>
        <v>Intervention Deemed Cost-Effective</v>
      </c>
      <c r="AG24" s="51" t="str">
        <f t="shared" si="18"/>
        <v>RRR</v>
      </c>
      <c r="AH24" s="194" t="e">
        <f t="shared" si="19"/>
        <v>#VALUE!</v>
      </c>
      <c r="AI24" s="51" t="str">
        <f t="shared" si="20"/>
        <v>NA</v>
      </c>
      <c r="AJ24" s="51" t="str">
        <f t="shared" si="21"/>
        <v>NA</v>
      </c>
      <c r="AK24" s="51" t="str" cm="1">
        <f t="array" ref="AK24">IFERROR(_xlfn.TEXTJOIN(", ", TRUE, _xlfn.UNIQUE(_xlfn._xlws.FILTER(K$2:K$100, (A$2:A$100 = AF24) * (D$2:D$100 = AG24) * (J$2:J$100 &lt;= 0.05)))), "")</f>
        <v/>
      </c>
      <c r="AL24" s="51" t="str" cm="1">
        <f t="array" ref="AL24">IFERROR(_xlfn.TEXTJOIN(", ", TRUE, _xlfn.UNIQUE(_xlfn._xlws.FILTER(L$2:L$100, (A$2:A$100 = AF24) * (D$2:D$100 = AG24) * (J$2:J$100 &lt;= 0.05)))), "")</f>
        <v/>
      </c>
      <c r="AM24" s="51" t="str">
        <f t="shared" si="22"/>
        <v>OR / RRR</v>
      </c>
      <c r="AP24" s="45" t="str">
        <f t="shared" si="25"/>
        <v>ICER (10K int$ / QALY)</v>
      </c>
      <c r="AQ24" s="230" t="str">
        <f t="shared" si="26"/>
        <v>OR / RRR</v>
      </c>
      <c r="AR24" s="273" t="str">
        <f t="shared" si="27"/>
        <v>0,64-1</v>
      </c>
      <c r="AS24" s="274">
        <f t="shared" si="28"/>
        <v>0.64</v>
      </c>
      <c r="AT24" s="230">
        <f t="shared" si="29"/>
        <v>0.9999200031999147</v>
      </c>
      <c r="AU24" s="221" t="str" cm="1">
        <f t="array" ref="AU24">_xlfn.TEXTJOIN(", ", TRUE, _xlfn.UNIQUE(IF((AF$2:AF$100 = AP24) * (AM$2:AM$100 = AQ24), AK$2:AK$100, "")))</f>
        <v>Norway, UK, South Korea, Ireland, Sweden, Australia, UK</v>
      </c>
      <c r="AV24" s="221" t="str" cm="1">
        <f t="array" ref="AV24">_xlfn.TEXTJOIN(", ", TRUE, _xlfn.UNIQUE(IF((AF$2:AF$100 = AP24) * (AM$2:AM$100 = AQ24), AL$2:AL$100, "")))</f>
        <v>(Tranvåg et al., 2022), (H. Dakin, Devlin, Feng, Rice, O’Neill, et al., 2015), (Bae et al., 2018), (Schmitz et al., 2016), (Strand et al., 2022), (Mauskopf et al., 2013), (Svensson et al., 2015), (A. Harris et al., 2016), (Cerri, Knapp, &amp; Fernandez, 2014b)</v>
      </c>
      <c r="AW24">
        <v>9</v>
      </c>
      <c r="AZ24" s="7" t="str">
        <v>Sizes of eligible Patient population</v>
      </c>
      <c r="BA24" s="1" t="str" cm="1">
        <f t="array" ref="BA24">INDEX($AZ$1:$AZ$100,INT((ROW(A24)-1)/3)+1)</f>
        <v>Intervention Deemed Cost-Effective</v>
      </c>
      <c r="BB24" s="1" t="str" cm="1">
        <f t="array" ref="BB24">INDEX({"OR","RRR","ME"},MOD(ROW(AB24)-1,3)+1)</f>
        <v>ME</v>
      </c>
      <c r="BD24" s="1" t="str" cm="1">
        <f t="array" ref="BD24">INDEX($AZ$1:$AZ$100,INT((ROW(A24)-1)/2)+1)</f>
        <v>ICER (10K int$ / QALY)</v>
      </c>
      <c r="BE24" s="6" t="str" cm="1">
        <f t="array" ref="BE24">INDEX({"OR / RRR";"ME"}, MOD(ROW(M24)-1, 2)+1)</f>
        <v>ME</v>
      </c>
    </row>
    <row r="25" spans="1:57" ht="30">
      <c r="A25" s="272" t="s">
        <v>1212</v>
      </c>
      <c r="B25" s="268" t="s">
        <v>885</v>
      </c>
      <c r="C25" s="269" t="s">
        <v>1213</v>
      </c>
      <c r="D25" s="268" t="s">
        <v>894</v>
      </c>
      <c r="E25" s="270">
        <v>-1.7000000000000001E-2</v>
      </c>
      <c r="F25" s="270">
        <f>E25-1.96*H25</f>
        <v>-4.052E-2</v>
      </c>
      <c r="G25" s="270">
        <f>E25+1.96*H25</f>
        <v>6.519999999999998E-3</v>
      </c>
      <c r="H25" s="270">
        <v>1.2E-2</v>
      </c>
      <c r="I25" s="270"/>
      <c r="J25" s="269" t="s">
        <v>886</v>
      </c>
      <c r="K25" s="269" t="s">
        <v>1033</v>
      </c>
      <c r="L25" s="271" t="s">
        <v>888</v>
      </c>
      <c r="M25" s="65"/>
      <c r="V25" s="44" t="str">
        <f t="shared" si="0"/>
        <v>Intervention Deemed Cost-Effective</v>
      </c>
      <c r="W25" s="51" t="str">
        <f t="shared" si="1"/>
        <v>ME</v>
      </c>
      <c r="X25" s="51" t="str">
        <f t="shared" si="2"/>
        <v>13,56-55,64</v>
      </c>
      <c r="Y25" s="51">
        <f t="shared" si="3"/>
        <v>13.56</v>
      </c>
      <c r="Z25" s="51">
        <f t="shared" si="4"/>
        <v>55.64</v>
      </c>
      <c r="AA25" s="51" t="str" cm="1">
        <f t="array" ref="AA25">IFERROR(_xlfn.TEXTJOIN(", ", TRUE, _xlfn.UNIQUE(_xlfn._xlws.FILTER(K$2:K$100, (A$2:A$100 = V25) * (D$2:D$100 = W25)))), "")</f>
        <v>UK, Canada</v>
      </c>
      <c r="AB25" s="51" t="str" cm="1">
        <f t="array" ref="AB25">_xlfn.TEXTJOIN(", ", TRUE, _xlfn.UNIQUE(IF((A$2:A$100 = V25) * (D$2:D$100 = W25), L$2:L$100, "")))</f>
        <v>(Pinto et al., 2020)</v>
      </c>
      <c r="AC25" s="51" t="str">
        <f t="shared" si="5"/>
        <v>ME</v>
      </c>
      <c r="AF25" s="44" t="str">
        <f t="shared" si="17"/>
        <v>Intervention Deemed Cost-Effective</v>
      </c>
      <c r="AG25" s="51" t="str">
        <f t="shared" si="18"/>
        <v>ME</v>
      </c>
      <c r="AH25" s="194">
        <f t="shared" si="19"/>
        <v>55.64</v>
      </c>
      <c r="AI25" s="51">
        <f t="shared" si="20"/>
        <v>55.64</v>
      </c>
      <c r="AJ25" s="51">
        <f t="shared" si="21"/>
        <v>55.64</v>
      </c>
      <c r="AK25" s="51" t="str" cm="1">
        <f t="array" ref="AK25">IFERROR(_xlfn.TEXTJOIN(", ", TRUE, _xlfn.UNIQUE(_xlfn._xlws.FILTER(K$2:K$100, (A$2:A$100 = AF25) * (D$2:D$100 = AG25) * (J$2:J$100 &lt;= 0.05)))), "")</f>
        <v>UK</v>
      </c>
      <c r="AL25" s="51" t="str" cm="1">
        <f t="array" ref="AL25">IFERROR(_xlfn.TEXTJOIN(", ", TRUE, _xlfn.UNIQUE(_xlfn._xlws.FILTER(L$2:L$100, (A$2:A$100 = AF25) * (D$2:D$100 = AG25) * (J$2:J$100 &lt;= 0.05)))), "")</f>
        <v>(Pinto et al., 2020)</v>
      </c>
      <c r="AM25" s="51" t="str">
        <f t="shared" si="22"/>
        <v>ME</v>
      </c>
      <c r="AP25" s="45" t="str">
        <f t="shared" si="25"/>
        <v>ICER (10K int$ / QALY)</v>
      </c>
      <c r="AQ25" s="230" t="str">
        <f t="shared" si="26"/>
        <v>ME</v>
      </c>
      <c r="AR25" s="273">
        <f t="shared" si="27"/>
        <v>-0.06</v>
      </c>
      <c r="AS25" s="274">
        <f t="shared" si="28"/>
        <v>-0.06</v>
      </c>
      <c r="AT25" s="230">
        <f t="shared" si="29"/>
        <v>-0.06</v>
      </c>
      <c r="AU25" s="221" t="str" cm="1">
        <f t="array" ref="AU25">_xlfn.TEXTJOIN(", ", TRUE, _xlfn.UNIQUE(IF((AF$2:AF$100 = AP25) * (AM$2:AM$100 = AQ25), AK$2:AK$100, "")))</f>
        <v>Australia</v>
      </c>
      <c r="AV25" s="221" t="str" cm="1">
        <f t="array" ref="AV25">_xlfn.TEXTJOIN(", ", TRUE, _xlfn.UNIQUE(IF((AF$2:AF$100 = AP25) * (AM$2:AM$100 = AQ25), AL$2:AL$100, "")))</f>
        <v>(A. H. Harris et al., 2008)</v>
      </c>
      <c r="AW25">
        <v>1</v>
      </c>
      <c r="BA25" s="1" cm="1">
        <f t="array" ref="BA25">INDEX($AZ$1:$AZ$100,INT((ROW(A25)-1)/3)+1)</f>
        <v>0</v>
      </c>
      <c r="BB25" s="1" t="str" cm="1">
        <f t="array" ref="BB25">INDEX({"OR","RRR","ME"},MOD(ROW(AB25)-1,3)+1)</f>
        <v>OR</v>
      </c>
      <c r="BD25" s="1" t="str" cm="1">
        <f t="array" ref="BD25">INDEX($AZ$1:$AZ$100,INT((ROW(A25)-1)/2)+1)</f>
        <v>ICER &lt; Threshold</v>
      </c>
      <c r="BE25" s="6" t="str" cm="1">
        <f t="array" ref="BE25">INDEX({"OR / RRR";"ME"}, MOD(ROW(M25)-1, 2)+1)</f>
        <v>OR / RRR</v>
      </c>
    </row>
    <row r="26" spans="1:57" ht="60">
      <c r="A26" s="272" t="s">
        <v>1212</v>
      </c>
      <c r="B26" s="268" t="s">
        <v>885</v>
      </c>
      <c r="C26" s="269" t="s">
        <v>1213</v>
      </c>
      <c r="D26" s="268" t="s">
        <v>894</v>
      </c>
      <c r="E26" s="270">
        <v>-2.3E-2</v>
      </c>
      <c r="F26" s="270">
        <f>E26-1.96*H26</f>
        <v>-5.6320000000000002E-2</v>
      </c>
      <c r="G26" s="270">
        <f>E26+1.96*H26</f>
        <v>1.0320000000000003E-2</v>
      </c>
      <c r="H26" s="270">
        <v>1.7000000000000001E-2</v>
      </c>
      <c r="I26" s="270"/>
      <c r="J26" s="269" t="s">
        <v>886</v>
      </c>
      <c r="K26" s="269" t="s">
        <v>960</v>
      </c>
      <c r="L26" s="271" t="s">
        <v>888</v>
      </c>
      <c r="M26" s="65"/>
      <c r="V26" s="44">
        <f t="shared" si="0"/>
        <v>0</v>
      </c>
      <c r="W26" s="51" t="str">
        <f t="shared" si="1"/>
        <v>OR</v>
      </c>
      <c r="X26" s="51" t="e">
        <f t="shared" si="2"/>
        <v>#VALUE!</v>
      </c>
      <c r="Y26" s="51" t="str">
        <f t="shared" si="3"/>
        <v>NA</v>
      </c>
      <c r="Z26" s="51" t="str">
        <f t="shared" si="4"/>
        <v>NA</v>
      </c>
      <c r="AA26" s="51" t="str" cm="1">
        <f t="array" ref="AA26">IFERROR(_xlfn.TEXTJOIN(", ", TRUE, _xlfn.UNIQUE(_xlfn._xlws.FILTER(K$2:K$100, (A$2:A$100 = V26) * (D$2:D$100 = W26)))), "")</f>
        <v>Scotland, South Korea</v>
      </c>
      <c r="AB26" s="51" t="str" cm="1">
        <f t="array" ref="AB26">_xlfn.TEXTJOIN(", ", TRUE, _xlfn.UNIQUE(IF((A$2:A$100 = V26) * (D$2:D$100 = W26), L$2:L$100, "")))</f>
        <v>(Charokopou et al., 2015), (Bae et al., 2018)</v>
      </c>
      <c r="AC26" s="51" t="str">
        <f t="shared" si="5"/>
        <v>OR / RRR</v>
      </c>
      <c r="AF26" s="44">
        <f t="shared" si="17"/>
        <v>0</v>
      </c>
      <c r="AG26" s="51" t="str">
        <f t="shared" si="18"/>
        <v>OR</v>
      </c>
      <c r="AH26" s="194" t="e">
        <f t="shared" si="19"/>
        <v>#VALUE!</v>
      </c>
      <c r="AI26" s="51" t="str">
        <f t="shared" si="20"/>
        <v>NA</v>
      </c>
      <c r="AJ26" s="51" t="str">
        <f t="shared" si="21"/>
        <v>NA</v>
      </c>
      <c r="AK26" s="51" t="str" cm="1">
        <f t="array" ref="AK26">IFERROR(_xlfn.TEXTJOIN(", ", TRUE, _xlfn.UNIQUE(_xlfn._xlws.FILTER(K$2:K$100, (A$2:A$100 = AF26) * (D$2:D$100 = AG26) * (J$2:J$100 &lt;= 0.05)))), "")</f>
        <v>Scotland</v>
      </c>
      <c r="AL26" s="51" t="str" cm="1">
        <f t="array" ref="AL26">IFERROR(_xlfn.TEXTJOIN(", ", TRUE, _xlfn.UNIQUE(_xlfn._xlws.FILTER(L$2:L$100, (A$2:A$100 = AF26) * (D$2:D$100 = AG26) * (J$2:J$100 &lt;= 0.05)))), "")</f>
        <v>(Charokopou et al., 2015)</v>
      </c>
      <c r="AM26" s="51" t="str">
        <f t="shared" si="22"/>
        <v>OR / RRR</v>
      </c>
      <c r="AP26" s="45" t="str">
        <f t="shared" si="25"/>
        <v>ICER &lt; Threshold</v>
      </c>
      <c r="AQ26" s="230" t="str">
        <f t="shared" si="26"/>
        <v>OR / RRR</v>
      </c>
      <c r="AR26" s="273" t="str">
        <f t="shared" si="27"/>
        <v>3,08-10,88</v>
      </c>
      <c r="AS26" s="274">
        <f t="shared" si="28"/>
        <v>3.08</v>
      </c>
      <c r="AT26" s="230">
        <f t="shared" si="29"/>
        <v>10.880802522861678</v>
      </c>
      <c r="AU26" s="221" t="str" cm="1">
        <f t="array" ref="AU26">_xlfn.TEXTJOIN(", ", TRUE, _xlfn.UNIQUE(IF((AF$2:AF$100 = AP26) * (AM$2:AM$100 = AQ26), AK$2:AK$100, "")))</f>
        <v>UK, Scotland</v>
      </c>
      <c r="AV26" s="221" t="str" cm="1">
        <f t="array" ref="AV26">_xlfn.TEXTJOIN(", ", TRUE, _xlfn.UNIQUE(IF((AF$2:AF$100 = AP26) * (AM$2:AM$100 = AQ26), AL$2:AL$100, "")))</f>
        <v>(Schaefer et al., 2023), (Charokopou et al., 2015)</v>
      </c>
      <c r="BA26" s="1" cm="1">
        <f t="array" ref="BA26">INDEX($AZ$1:$AZ$100,INT((ROW(A26)-1)/3)+1)</f>
        <v>0</v>
      </c>
      <c r="BB26" s="1" t="str" cm="1">
        <f t="array" ref="BB26">INDEX({"OR","RRR","ME"},MOD(ROW(AB26)-1,3)+1)</f>
        <v>RRR</v>
      </c>
      <c r="BD26" s="1" t="str" cm="1">
        <f t="array" ref="BD26">INDEX($AZ$1:$AZ$100,INT((ROW(A26)-1)/2)+1)</f>
        <v>ICER &lt; Threshold</v>
      </c>
      <c r="BE26" s="6" t="str" cm="1">
        <f t="array" ref="BE26">INDEX({"OR / RRR";"ME"}, MOD(ROW(M26)-1, 2)+1)</f>
        <v>ME</v>
      </c>
    </row>
    <row r="27" spans="1:57" ht="30">
      <c r="A27" s="272" t="s">
        <v>1212</v>
      </c>
      <c r="B27" s="268" t="s">
        <v>885</v>
      </c>
      <c r="C27" s="269" t="s">
        <v>1213</v>
      </c>
      <c r="D27" s="268" t="s">
        <v>894</v>
      </c>
      <c r="E27" s="270">
        <v>-1.0999999999999999E-2</v>
      </c>
      <c r="F27" s="270">
        <f>E27-1.96*H27</f>
        <v>-2.6679999999999999E-2</v>
      </c>
      <c r="G27" s="270">
        <f>E27+1.96*H27</f>
        <v>4.6800000000000001E-3</v>
      </c>
      <c r="H27" s="270">
        <v>8.0000000000000002E-3</v>
      </c>
      <c r="I27" s="270"/>
      <c r="J27" s="269" t="s">
        <v>886</v>
      </c>
      <c r="K27" s="269" t="s">
        <v>548</v>
      </c>
      <c r="L27" s="271" t="s">
        <v>888</v>
      </c>
      <c r="M27" s="65"/>
      <c r="V27" s="44">
        <f t="shared" si="0"/>
        <v>0</v>
      </c>
      <c r="W27" s="51" t="str">
        <f t="shared" si="1"/>
        <v>RRR</v>
      </c>
      <c r="X27" s="51" t="e">
        <f t="shared" si="2"/>
        <v>#VALUE!</v>
      </c>
      <c r="Y27" s="51" t="str">
        <f t="shared" si="3"/>
        <v>NA</v>
      </c>
      <c r="Z27" s="51" t="str">
        <f t="shared" si="4"/>
        <v>NA</v>
      </c>
      <c r="AA27" s="51" t="str" cm="1">
        <f t="array" ref="AA27">IFERROR(_xlfn.TEXTJOIN(", ", TRUE, _xlfn.UNIQUE(_xlfn._xlws.FILTER(K$2:K$100, (A$2:A$100 = V27) * (D$2:D$100 = W27)))), "")</f>
        <v/>
      </c>
      <c r="AB27" s="51" t="str" cm="1">
        <f t="array" ref="AB27">_xlfn.TEXTJOIN(", ", TRUE, _xlfn.UNIQUE(IF((A$2:A$100 = V27) * (D$2:D$100 = W27), L$2:L$100, "")))</f>
        <v/>
      </c>
      <c r="AC27" s="51" t="str">
        <f t="shared" si="5"/>
        <v>OR / RRR</v>
      </c>
      <c r="AF27" s="44">
        <f t="shared" si="17"/>
        <v>0</v>
      </c>
      <c r="AG27" s="51" t="str">
        <f t="shared" si="18"/>
        <v>RRR</v>
      </c>
      <c r="AH27" s="194" t="e">
        <f t="shared" si="19"/>
        <v>#VALUE!</v>
      </c>
      <c r="AI27" s="51" t="str">
        <f t="shared" si="20"/>
        <v>NA</v>
      </c>
      <c r="AJ27" s="51" t="str">
        <f t="shared" si="21"/>
        <v>NA</v>
      </c>
      <c r="AK27" s="51" t="str" cm="1">
        <f t="array" ref="AK27">IFERROR(_xlfn.TEXTJOIN(", ", TRUE, _xlfn.UNIQUE(_xlfn._xlws.FILTER(K$2:K$100, (A$2:A$100 = AF27) * (D$2:D$100 = AG27) * (J$2:J$100 &lt;= 0.05)))), "")</f>
        <v/>
      </c>
      <c r="AL27" s="51" t="str" cm="1">
        <f t="array" ref="AL27">IFERROR(_xlfn.TEXTJOIN(", ", TRUE, _xlfn.UNIQUE(_xlfn._xlws.FILTER(L$2:L$100, (A$2:A$100 = AF27) * (D$2:D$100 = AG27) * (J$2:J$100 &lt;= 0.05)))), "")</f>
        <v/>
      </c>
      <c r="AM27" s="51" t="str">
        <f t="shared" si="22"/>
        <v>OR / RRR</v>
      </c>
      <c r="AP27" s="44" t="str">
        <f t="shared" si="25"/>
        <v>ICER &lt; Threshold</v>
      </c>
      <c r="AQ27" s="46" t="str">
        <f t="shared" si="26"/>
        <v>ME</v>
      </c>
      <c r="AR27" s="194" t="str">
        <f t="shared" si="27"/>
        <v>NO DATA</v>
      </c>
      <c r="AS27" s="200">
        <f t="shared" si="28"/>
        <v>0</v>
      </c>
      <c r="AT27" s="46">
        <f t="shared" si="29"/>
        <v>0</v>
      </c>
      <c r="AU27" s="51" t="str" cm="1">
        <f t="array" ref="AU27">_xlfn.TEXTJOIN(", ", TRUE, _xlfn.UNIQUE(IF((AF$2:AF$100 = AP27) * (AM$2:AM$100 = AQ27), AK$2:AK$100, "")))</f>
        <v/>
      </c>
      <c r="AV27" s="51" t="str" cm="1">
        <f t="array" ref="AV27">_xlfn.TEXTJOIN(", ", TRUE, _xlfn.UNIQUE(IF((AF$2:AF$100 = AP27) * (AM$2:AM$100 = AQ27), AL$2:AL$100, "")))</f>
        <v/>
      </c>
      <c r="BA27" s="1" cm="1">
        <f t="array" ref="BA27">INDEX($AZ$1:$AZ$100,INT((ROW(A27)-1)/3)+1)</f>
        <v>0</v>
      </c>
      <c r="BB27" s="1" t="str" cm="1">
        <f t="array" ref="BB27">INDEX({"OR","RRR","ME"},MOD(ROW(AB27)-1,3)+1)</f>
        <v>ME</v>
      </c>
      <c r="BD27" s="1" t="str" cm="1">
        <f t="array" ref="BD27">INDEX($AZ$1:$AZ$100,INT((ROW(A27)-1)/2)+1)</f>
        <v>ICER within a range</v>
      </c>
      <c r="BE27" s="6" t="str" cm="1">
        <f t="array" ref="BE27">INDEX({"OR / RRR";"ME"}, MOD(ROW(M27)-1, 2)+1)</f>
        <v>OR / RRR</v>
      </c>
    </row>
    <row r="28" spans="1:57" ht="30">
      <c r="A28" s="275" t="s">
        <v>1212</v>
      </c>
      <c r="B28" s="276" t="s">
        <v>885</v>
      </c>
      <c r="C28" s="277" t="s">
        <v>1213</v>
      </c>
      <c r="D28" s="276" t="s">
        <v>894</v>
      </c>
      <c r="E28" s="278">
        <v>-8.9999999999999993E-3</v>
      </c>
      <c r="F28" s="278">
        <f>E28-1.96*H28</f>
        <v>-2.2719999999999997E-2</v>
      </c>
      <c r="G28" s="278">
        <f>E28+1.96*H28</f>
        <v>4.7200000000000002E-3</v>
      </c>
      <c r="H28" s="278">
        <v>7.0000000000000001E-3</v>
      </c>
      <c r="I28" s="278"/>
      <c r="J28" s="277" t="s">
        <v>886</v>
      </c>
      <c r="K28" s="277" t="s">
        <v>840</v>
      </c>
      <c r="L28" s="279" t="s">
        <v>888</v>
      </c>
      <c r="M28" s="65"/>
      <c r="V28" s="44">
        <f t="shared" si="0"/>
        <v>0</v>
      </c>
      <c r="W28" s="51" t="str">
        <f t="shared" si="1"/>
        <v>ME</v>
      </c>
      <c r="X28" s="51" t="e">
        <f t="shared" si="2"/>
        <v>#VALUE!</v>
      </c>
      <c r="Y28" s="51" t="str">
        <f t="shared" si="3"/>
        <v>NA</v>
      </c>
      <c r="Z28" s="51" t="str">
        <f t="shared" si="4"/>
        <v>NA</v>
      </c>
      <c r="AA28" s="51" t="str" cm="1">
        <f t="array" ref="AA28">IFERROR(_xlfn.TEXTJOIN(", ", TRUE, _xlfn.UNIQUE(_xlfn._xlws.FILTER(K$2:K$100, (A$2:A$100 = V28) * (D$2:D$100 = W28)))), "")</f>
        <v/>
      </c>
      <c r="AB28" s="51" t="str" cm="1">
        <f t="array" ref="AB28">_xlfn.TEXTJOIN(", ", TRUE, _xlfn.UNIQUE(IF((A$2:A$100 = V28) * (D$2:D$100 = W28), L$2:L$100, "")))</f>
        <v/>
      </c>
      <c r="AC28" s="51" t="str">
        <f t="shared" si="5"/>
        <v>ME</v>
      </c>
      <c r="AF28" s="44">
        <f t="shared" si="17"/>
        <v>0</v>
      </c>
      <c r="AG28" s="51" t="str">
        <f t="shared" si="18"/>
        <v>ME</v>
      </c>
      <c r="AH28" s="194" t="e">
        <f t="shared" si="19"/>
        <v>#VALUE!</v>
      </c>
      <c r="AI28" s="51" t="str">
        <f t="shared" si="20"/>
        <v>NA</v>
      </c>
      <c r="AJ28" s="51" t="str">
        <f t="shared" si="21"/>
        <v>NA</v>
      </c>
      <c r="AK28" s="51" t="str" cm="1">
        <f t="array" ref="AK28">IFERROR(_xlfn.TEXTJOIN(", ", TRUE, _xlfn.UNIQUE(_xlfn._xlws.FILTER(K$2:K$100, (A$2:A$100 = AF28) * (D$2:D$100 = AG28) * (J$2:J$100 &lt;= 0.05)))), "")</f>
        <v/>
      </c>
      <c r="AL28" s="51" t="str" cm="1">
        <f t="array" ref="AL28">IFERROR(_xlfn.TEXTJOIN(", ", TRUE, _xlfn.UNIQUE(_xlfn._xlws.FILTER(L$2:L$100, (A$2:A$100 = AF28) * (D$2:D$100 = AG28) * (J$2:J$100 &lt;= 0.05)))), "")</f>
        <v/>
      </c>
      <c r="AM28" s="51" t="str">
        <f t="shared" si="22"/>
        <v>ME</v>
      </c>
      <c r="AP28" s="44" t="str">
        <f t="shared" si="25"/>
        <v>ICER within a range</v>
      </c>
      <c r="AQ28" s="46" t="str">
        <f t="shared" si="26"/>
        <v>OR / RRR</v>
      </c>
      <c r="AR28" s="194" t="str">
        <f t="shared" si="27"/>
        <v>NO DATA</v>
      </c>
      <c r="AS28" s="200">
        <f t="shared" si="28"/>
        <v>0</v>
      </c>
      <c r="AT28" s="46">
        <f t="shared" si="29"/>
        <v>0</v>
      </c>
      <c r="AU28" s="51" t="str" cm="1">
        <f t="array" ref="AU28">_xlfn.TEXTJOIN(", ", TRUE, _xlfn.UNIQUE(IF((AF$2:AF$100 = AP28) * (AM$2:AM$100 = AQ28), AK$2:AK$100, "")))</f>
        <v/>
      </c>
      <c r="AV28" s="51" t="str" cm="1">
        <f t="array" ref="AV28">_xlfn.TEXTJOIN(", ", TRUE, _xlfn.UNIQUE(IF((AF$2:AF$100 = AP28) * (AM$2:AM$100 = AQ28), AL$2:AL$100, "")))</f>
        <v/>
      </c>
      <c r="BA28" s="1" t="str" cm="1">
        <f t="array" ref="BA28">INDEX($AZ$1:$AZ$100,INT((ROW(A28)-1)/3)+1)</f>
        <v>Economic Uncertainties</v>
      </c>
      <c r="BB28" s="1" t="str" cm="1">
        <f t="array" ref="BB28">INDEX({"OR","RRR","ME"},MOD(ROW(AB28)-1,3)+1)</f>
        <v>OR</v>
      </c>
      <c r="BD28" s="1" t="str" cm="1">
        <f t="array" ref="BD28">INDEX($AZ$1:$AZ$100,INT((ROW(A28)-1)/2)+1)</f>
        <v>ICER within a range</v>
      </c>
      <c r="BE28" s="6" t="str" cm="1">
        <f t="array" ref="BE28">INDEX({"OR / RRR";"ME"}, MOD(ROW(M28)-1, 2)+1)</f>
        <v>ME</v>
      </c>
    </row>
    <row r="29" spans="1:57" ht="90">
      <c r="A29" s="275" t="s">
        <v>1212</v>
      </c>
      <c r="B29" s="276" t="s">
        <v>878</v>
      </c>
      <c r="C29" s="277" t="s">
        <v>1213</v>
      </c>
      <c r="D29" s="276" t="s">
        <v>891</v>
      </c>
      <c r="E29" s="278">
        <v>0.747</v>
      </c>
      <c r="F29" s="278"/>
      <c r="G29" s="278"/>
      <c r="H29" s="278">
        <v>0.106</v>
      </c>
      <c r="I29" s="278"/>
      <c r="J29" s="277">
        <v>0.05</v>
      </c>
      <c r="K29" s="277" t="s">
        <v>987</v>
      </c>
      <c r="L29" s="279" t="s">
        <v>893</v>
      </c>
      <c r="M29" s="66"/>
      <c r="V29" s="44" t="str">
        <f t="shared" si="0"/>
        <v>Economic Uncertainties</v>
      </c>
      <c r="W29" s="51" t="str">
        <f t="shared" si="1"/>
        <v>OR</v>
      </c>
      <c r="X29" s="51" t="str">
        <f t="shared" si="2"/>
        <v>0-0,85</v>
      </c>
      <c r="Y29" s="51">
        <f t="shared" si="3"/>
        <v>2E-3</v>
      </c>
      <c r="Z29" s="51">
        <f t="shared" si="4"/>
        <v>0.84499999999999997</v>
      </c>
      <c r="AA29" s="51" t="str" cm="1">
        <f t="array" ref="AA29">IFERROR(_xlfn.TEXTJOIN(", ", TRUE, _xlfn.UNIQUE(_xlfn._xlws.FILTER(K$2:K$100, (A$2:A$100 = V29) * (D$2:D$100 = W29)))), "")</f>
        <v>CANADA-(INESSS), CANADA-(CADTH) Scotland, UK, France, Australia, South Korea</v>
      </c>
      <c r="AB29" s="51" t="str" cm="1">
        <f t="array" ref="AB29">_xlfn.TEXTJOIN(", ", TRUE, _xlfn.UNIQUE(IF((A$2:A$100 = V29) * (D$2:D$100 = W29), L$2:L$100, "")))</f>
        <v>(Mills, 2023), (Hill et al., 2022), (Karikios et al., 2017), (Bae et al., 2018), (Haque et al., 2023)</v>
      </c>
      <c r="AC29" s="51" t="str">
        <f t="shared" si="5"/>
        <v>OR / RRR</v>
      </c>
      <c r="AF29" s="44" t="str">
        <f t="shared" si="17"/>
        <v>Economic Uncertainties</v>
      </c>
      <c r="AG29" s="51" t="str">
        <f t="shared" si="18"/>
        <v>OR</v>
      </c>
      <c r="AH29" s="194" t="str">
        <f t="shared" si="19"/>
        <v>0-0,23</v>
      </c>
      <c r="AI29" s="51">
        <f t="shared" si="20"/>
        <v>2E-3</v>
      </c>
      <c r="AJ29" s="51">
        <f t="shared" si="21"/>
        <v>0.22988505747126439</v>
      </c>
      <c r="AK29" s="51" t="str" cm="1">
        <f t="array" ref="AK29">IFERROR(_xlfn.TEXTJOIN(", ", TRUE, _xlfn.UNIQUE(_xlfn._xlws.FILTER(K$2:K$100, (A$2:A$100 = AF29) * (D$2:D$100 = AG29) * (J$2:J$100 &lt;= 0.05)))), "")</f>
        <v>Australia, South Korea</v>
      </c>
      <c r="AL29" s="51" t="str" cm="1">
        <f t="array" ref="AL29">IFERROR(_xlfn.TEXTJOIN(", ", TRUE, _xlfn.UNIQUE(_xlfn._xlws.FILTER(L$2:L$100, (A$2:A$100 = AF29) * (D$2:D$100 = AG29) * (J$2:J$100 &lt;= 0.05)))), "")</f>
        <v>(Hill et al., 2022), (Karikios et al., 2017), (Bae et al., 2018), (Haque et al., 2023)</v>
      </c>
      <c r="AM29" s="51" t="str">
        <f t="shared" si="22"/>
        <v>OR / RRR</v>
      </c>
      <c r="AP29" s="44" t="str">
        <f t="shared" si="25"/>
        <v>ICER within a range</v>
      </c>
      <c r="AQ29" s="46" t="str">
        <f t="shared" si="26"/>
        <v>ME</v>
      </c>
      <c r="AR29" s="194" t="str">
        <f t="shared" si="27"/>
        <v>NO DATA</v>
      </c>
      <c r="AS29" s="200">
        <f t="shared" si="28"/>
        <v>0</v>
      </c>
      <c r="AT29" s="46">
        <f t="shared" si="29"/>
        <v>0</v>
      </c>
      <c r="AU29" s="51" t="str" cm="1">
        <f t="array" ref="AU29">_xlfn.TEXTJOIN(", ", TRUE, _xlfn.UNIQUE(IF((AF$2:AF$100 = AP29) * (AM$2:AM$100 = AQ29), AK$2:AK$100, "")))</f>
        <v/>
      </c>
      <c r="AV29" s="51" t="str" cm="1">
        <f t="array" ref="AV29">_xlfn.TEXTJOIN(", ", TRUE, _xlfn.UNIQUE(IF((AF$2:AF$100 = AP29) * (AM$2:AM$100 = AQ29), AL$2:AL$100, "")))</f>
        <v/>
      </c>
      <c r="BA29" s="1" t="str" cm="1">
        <f t="array" ref="BA29">INDEX($AZ$1:$AZ$100,INT((ROW(A29)-1)/3)+1)</f>
        <v>Economic Uncertainties</v>
      </c>
      <c r="BB29" s="1" t="str" cm="1">
        <f t="array" ref="BB29">INDEX({"OR","RRR","ME"},MOD(ROW(AB29)-1,3)+1)</f>
        <v>RRR</v>
      </c>
      <c r="BD29" s="1" t="str" cm="1">
        <f t="array" ref="BD29">INDEX($AZ$1:$AZ$100,INT((ROW(A29)-1)/2)+1)</f>
        <v>ICER &gt; Threshold</v>
      </c>
      <c r="BE29" s="6" t="str" cm="1">
        <f t="array" ref="BE29">INDEX({"OR / RRR";"ME"}, MOD(ROW(M29)-1, 2)+1)</f>
        <v>OR / RRR</v>
      </c>
    </row>
    <row r="30" spans="1:57" ht="165">
      <c r="A30" s="275" t="s">
        <v>1212</v>
      </c>
      <c r="B30" s="276" t="s">
        <v>885</v>
      </c>
      <c r="C30" s="277" t="s">
        <v>1213</v>
      </c>
      <c r="D30" s="276" t="s">
        <v>879</v>
      </c>
      <c r="E30" s="278">
        <v>4.2999999999999997E-2</v>
      </c>
      <c r="F30" s="278">
        <v>6.0000000000000001E-3</v>
      </c>
      <c r="G30" s="278">
        <v>0.32600000000000001</v>
      </c>
      <c r="H30" s="278"/>
      <c r="I30" s="278"/>
      <c r="J30" s="283">
        <v>1E-4</v>
      </c>
      <c r="K30" s="283" t="s">
        <v>365</v>
      </c>
      <c r="L30" s="279" t="s">
        <v>1136</v>
      </c>
      <c r="M30" s="65"/>
      <c r="V30" s="44" t="str">
        <f t="shared" si="0"/>
        <v>Economic Uncertainties</v>
      </c>
      <c r="W30" s="51" t="str">
        <f t="shared" si="1"/>
        <v>RRR</v>
      </c>
      <c r="X30" s="51">
        <f t="shared" si="2"/>
        <v>0.75</v>
      </c>
      <c r="Y30" s="51">
        <f t="shared" si="3"/>
        <v>0.747</v>
      </c>
      <c r="Z30" s="51">
        <f t="shared" si="4"/>
        <v>0.747</v>
      </c>
      <c r="AA30" s="51" t="str" cm="1">
        <f t="array" ref="AA30">IFERROR(_xlfn.TEXTJOIN(", ", TRUE, _xlfn.UNIQUE(_xlfn._xlws.FILTER(K$2:K$100, (A$2:A$100 = V30) * (D$2:D$100 = W30)))), "")</f>
        <v>Australia, Canada-(CADTH), Canada-(INESSS), England, France-(HAS), Germany, Scotland, Sweden</v>
      </c>
      <c r="AB30" s="51" t="str" cm="1">
        <f t="array" ref="AB30">_xlfn.TEXTJOIN(", ", TRUE, _xlfn.UNIQUE(IF((A$2:A$100 = V30) * (D$2:D$100 = W30), L$2:L$100, "")))</f>
        <v>(Kanavos et al., 2023)</v>
      </c>
      <c r="AC30" s="51" t="str">
        <f t="shared" si="5"/>
        <v>OR / RRR</v>
      </c>
      <c r="AF30" s="44" t="str">
        <f t="shared" si="17"/>
        <v>Economic Uncertainties</v>
      </c>
      <c r="AG30" s="51" t="str">
        <f t="shared" si="18"/>
        <v>RRR</v>
      </c>
      <c r="AH30" s="194">
        <f t="shared" si="19"/>
        <v>0.75</v>
      </c>
      <c r="AI30" s="51">
        <f t="shared" si="20"/>
        <v>0.747</v>
      </c>
      <c r="AJ30" s="51">
        <f t="shared" si="21"/>
        <v>0.747</v>
      </c>
      <c r="AK30" s="51" t="str" cm="1">
        <f t="array" ref="AK30">IFERROR(_xlfn.TEXTJOIN(", ", TRUE, _xlfn.UNIQUE(_xlfn._xlws.FILTER(K$2:K$100, (A$2:A$100 = AF30) * (D$2:D$100 = AG30) * (J$2:J$100 &lt;= 0.05)))), "")</f>
        <v>Australia, Canada-(CADTH), Canada-(INESSS), England, France-(HAS), Germany, Scotland, Sweden</v>
      </c>
      <c r="AL30" s="51" t="str" cm="1">
        <f t="array" ref="AL30">IFERROR(_xlfn.TEXTJOIN(", ", TRUE, _xlfn.UNIQUE(_xlfn._xlws.FILTER(L$2:L$100, (A$2:A$100 = AF30) * (D$2:D$100 = AG30) * (J$2:J$100 &lt;= 0.05)))), "")</f>
        <v>(Kanavos et al., 2023)</v>
      </c>
      <c r="AM30" s="51" t="str">
        <f t="shared" si="22"/>
        <v>OR / RRR</v>
      </c>
      <c r="AP30" s="44" t="str">
        <f t="shared" si="25"/>
        <v>ICER &gt; Threshold</v>
      </c>
      <c r="AQ30" s="46" t="str">
        <f t="shared" si="26"/>
        <v>OR / RRR</v>
      </c>
      <c r="AR30" s="194" t="str">
        <f t="shared" si="27"/>
        <v>0,3-0,47</v>
      </c>
      <c r="AS30" s="200">
        <f t="shared" si="28"/>
        <v>0.29599999999999999</v>
      </c>
      <c r="AT30" s="46">
        <f t="shared" si="29"/>
        <v>0.47</v>
      </c>
      <c r="AU30" s="51" t="str" cm="1">
        <f t="array" ref="AU30">_xlfn.TEXTJOIN(", ", TRUE, _xlfn.UNIQUE(IF((AF$2:AF$100 = AP30) * (AM$2:AM$100 = AQ30), AK$2:AK$100, "")))</f>
        <v>Scotland, Australia</v>
      </c>
      <c r="AV30" s="51" t="str" cm="1">
        <f t="array" ref="AV30">_xlfn.TEXTJOIN(", ", TRUE, _xlfn.UNIQUE(IF((AF$2:AF$100 = AP30) * (AM$2:AM$100 = AQ30), AL$2:AL$100, "")))</f>
        <v>(Charokopou et al., 2015), (Ngo, 2014)</v>
      </c>
      <c r="BA30" s="1" t="str" cm="1">
        <f t="array" ref="BA30">INDEX($AZ$1:$AZ$100,INT((ROW(A30)-1)/3)+1)</f>
        <v>Economic Uncertainties</v>
      </c>
      <c r="BB30" s="1" t="str" cm="1">
        <f t="array" ref="BB30">INDEX({"OR","RRR","ME"},MOD(ROW(AB30)-1,3)+1)</f>
        <v>ME</v>
      </c>
      <c r="BD30" s="1" t="str" cm="1">
        <f t="array" ref="BD30">INDEX($AZ$1:$AZ$100,INT((ROW(A30)-1)/2)+1)</f>
        <v>ICER &gt; Threshold</v>
      </c>
      <c r="BE30" s="6" t="str" cm="1">
        <f t="array" ref="BE30">INDEX({"OR / RRR";"ME"}, MOD(ROW(M30)-1, 2)+1)</f>
        <v>ME</v>
      </c>
    </row>
    <row r="31" spans="1:57" ht="60">
      <c r="A31" s="275" t="s">
        <v>1212</v>
      </c>
      <c r="B31" s="289" t="s">
        <v>897</v>
      </c>
      <c r="C31" s="277" t="s">
        <v>1213</v>
      </c>
      <c r="D31" s="276" t="s">
        <v>879</v>
      </c>
      <c r="E31" s="278">
        <f>1/4.35</f>
        <v>0.22988505747126439</v>
      </c>
      <c r="F31" s="278">
        <f>1/10.4</f>
        <v>9.6153846153846145E-2</v>
      </c>
      <c r="G31" s="278">
        <f>1/1.82</f>
        <v>0.54945054945054939</v>
      </c>
      <c r="H31" s="278"/>
      <c r="I31" s="278"/>
      <c r="J31" s="277">
        <v>1E-3</v>
      </c>
      <c r="K31" s="277" t="s">
        <v>365</v>
      </c>
      <c r="L31" s="279" t="s">
        <v>999</v>
      </c>
      <c r="M31" s="65"/>
      <c r="V31" s="44" t="str">
        <f t="shared" si="0"/>
        <v>Economic Uncertainties</v>
      </c>
      <c r="W31" s="51" t="str">
        <f t="shared" si="1"/>
        <v>ME</v>
      </c>
      <c r="X31" s="51" t="str">
        <f t="shared" si="2"/>
        <v>-0,02--0,01</v>
      </c>
      <c r="Y31" s="51">
        <f t="shared" si="3"/>
        <v>-2.3E-2</v>
      </c>
      <c r="Z31" s="51">
        <f t="shared" si="4"/>
        <v>-8.9999999999999993E-3</v>
      </c>
      <c r="AA31" s="51" t="str" cm="1">
        <f t="array" ref="AA31">IFERROR(_xlfn.TEXTJOIN(", ", TRUE, _xlfn.UNIQUE(_xlfn._xlws.FILTER(K$2:K$100, (A$2:A$100 = V31) * (D$2:D$100 = W31)))), "")</f>
        <v>CANADA-(INESSS), CANADA-(CADTH), Scotland, UK</v>
      </c>
      <c r="AB31" s="51" t="str" cm="1">
        <f t="array" ref="AB31">_xlfn.TEXTJOIN(", ", TRUE, _xlfn.UNIQUE(IF((A$2:A$100 = V31) * (D$2:D$100 = W31), L$2:L$100, "")))</f>
        <v>(Mills, 2023)</v>
      </c>
      <c r="AC31" s="51" t="str">
        <f t="shared" si="5"/>
        <v>ME</v>
      </c>
      <c r="AF31" s="44" t="str">
        <f t="shared" si="17"/>
        <v>Economic Uncertainties</v>
      </c>
      <c r="AG31" s="51" t="str">
        <f t="shared" si="18"/>
        <v>ME</v>
      </c>
      <c r="AH31" s="194" t="e">
        <f t="shared" si="19"/>
        <v>#VALUE!</v>
      </c>
      <c r="AI31" s="51" t="str">
        <f t="shared" si="20"/>
        <v>NA</v>
      </c>
      <c r="AJ31" s="51" t="str">
        <f t="shared" si="21"/>
        <v>NA</v>
      </c>
      <c r="AK31" s="51" t="str" cm="1">
        <f t="array" ref="AK31">IFERROR(_xlfn.TEXTJOIN(", ", TRUE, _xlfn.UNIQUE(_xlfn._xlws.FILTER(K$2:K$100, (A$2:A$100 = AF31) * (D$2:D$100 = AG31) * (J$2:J$100 &lt;= 0.05)))), "")</f>
        <v/>
      </c>
      <c r="AL31" s="51" t="str" cm="1">
        <f t="array" ref="AL31">IFERROR(_xlfn.TEXTJOIN(", ", TRUE, _xlfn.UNIQUE(_xlfn._xlws.FILTER(L$2:L$100, (A$2:A$100 = AF31) * (D$2:D$100 = AG31) * (J$2:J$100 &lt;= 0.05)))), "")</f>
        <v/>
      </c>
      <c r="AM31" s="51" t="str">
        <f t="shared" si="22"/>
        <v>ME</v>
      </c>
      <c r="AP31" s="44" t="str">
        <f t="shared" si="25"/>
        <v>ICER &gt; Threshold</v>
      </c>
      <c r="AQ31" s="46" t="str">
        <f t="shared" si="26"/>
        <v>ME</v>
      </c>
      <c r="AR31" s="194" t="str">
        <f t="shared" si="27"/>
        <v>NO DATA</v>
      </c>
      <c r="AS31" s="200">
        <f t="shared" si="28"/>
        <v>0</v>
      </c>
      <c r="AT31" s="46">
        <f t="shared" si="29"/>
        <v>0</v>
      </c>
      <c r="AU31" s="51" t="str" cm="1">
        <f t="array" ref="AU31">_xlfn.TEXTJOIN(", ", TRUE, _xlfn.UNIQUE(IF((AF$2:AF$100 = AP31) * (AM$2:AM$100 = AQ31), AK$2:AK$100, "")))</f>
        <v/>
      </c>
      <c r="AV31" s="51" t="str" cm="1">
        <f t="array" ref="AV31">_xlfn.TEXTJOIN(", ", TRUE, _xlfn.UNIQUE(IF((AF$2:AF$100 = AP31) * (AM$2:AM$100 = AQ31), AL$2:AL$100, "")))</f>
        <v/>
      </c>
      <c r="BA31" s="1" t="str" cm="1">
        <f t="array" ref="BA31">INDEX($AZ$1:$AZ$100,INT((ROW(A31)-1)/3)+1)</f>
        <v>Validiity of Cost-Effectiveness Assessment Acceptable</v>
      </c>
      <c r="BB31" s="1" t="str" cm="1">
        <f t="array" ref="BB31">INDEX({"OR","RRR","ME"},MOD(ROW(AB31)-1,3)+1)</f>
        <v>OR</v>
      </c>
      <c r="BD31" s="1" t="str" cm="1">
        <f t="array" ref="BD31">INDEX($AZ$1:$AZ$100,INT((ROW(A31)-1)/2)+1)</f>
        <v>Cost-Effectiveness Assessment Acceptable</v>
      </c>
      <c r="BE31" s="6" t="str" cm="1">
        <f t="array" ref="BE31">INDEX({"OR / RRR";"ME"}, MOD(ROW(M31)-1, 2)+1)</f>
        <v>OR / RRR</v>
      </c>
    </row>
    <row r="32" spans="1:57" ht="60">
      <c r="A32" s="268"/>
      <c r="B32" s="169" t="s">
        <v>903</v>
      </c>
      <c r="C32" s="171" t="s">
        <v>1214</v>
      </c>
      <c r="D32" s="169" t="s">
        <v>879</v>
      </c>
      <c r="E32" s="180">
        <v>0.92100000000000004</v>
      </c>
      <c r="F32" s="180">
        <v>0.22600000000000001</v>
      </c>
      <c r="G32" s="180">
        <v>3.7530000000000001</v>
      </c>
      <c r="H32" s="180"/>
      <c r="I32" s="180"/>
      <c r="J32" s="171" t="s">
        <v>886</v>
      </c>
      <c r="K32" s="171" t="s">
        <v>182</v>
      </c>
      <c r="L32" s="173" t="s">
        <v>905</v>
      </c>
      <c r="M32" s="65"/>
      <c r="V32" s="100" t="str">
        <f t="shared" si="0"/>
        <v>Validiity of Cost-Effectiveness Assessment Acceptable</v>
      </c>
      <c r="W32" s="51" t="str">
        <f t="shared" si="1"/>
        <v>OR</v>
      </c>
      <c r="X32" s="51" t="e">
        <f t="shared" si="2"/>
        <v>#VALUE!</v>
      </c>
      <c r="Y32" s="51" t="str">
        <f>IF(_xlfn.MINIFS(P:P,A:A,V32,D:D,W32)=0,"NA",_xlfn.MINIFS(P:P,A:A,V32,D:D,W32))</f>
        <v>NA</v>
      </c>
      <c r="Z32" s="51" t="str">
        <f>IF(_xlfn.MAXIFS(P:P,A:A,V32,D:D,W32)=0,"NA",_xlfn.MAXIFS(P:P,A:A,V32,D:D,W32))</f>
        <v>NA</v>
      </c>
      <c r="AA32" s="51" t="str" cm="1">
        <f t="array" ref="AA32">IFERROR(_xlfn.TEXTJOIN(", ", TRUE, _xlfn.UNIQUE(_xlfn._xlws.FILTER(K$2:K$100, (A$2:A$100 = V32) * (D$2:D$100 = W32)))), "")</f>
        <v>Australia</v>
      </c>
      <c r="AB32" s="51" t="str" cm="1">
        <f t="array" ref="AB32">_xlfn.TEXTJOIN(", ", TRUE, _xlfn.UNIQUE(IF((A$2:A$100 = V32) * (D$2:D$100 = W32), L$2:L$100, "")))</f>
        <v>(A. Harris et al., 2016)</v>
      </c>
      <c r="AC32" s="51" t="str">
        <f t="shared" si="5"/>
        <v>OR / RRR</v>
      </c>
      <c r="AF32" s="100" t="str">
        <f t="shared" si="17"/>
        <v>Validiity of Cost-Effectiveness Assessment Acceptable</v>
      </c>
      <c r="AG32" s="51" t="str">
        <f t="shared" si="18"/>
        <v>OR</v>
      </c>
      <c r="AH32" s="194" t="e">
        <f t="shared" si="19"/>
        <v>#VALUE!</v>
      </c>
      <c r="AI32" s="51" t="str">
        <f t="shared" ref="AI32" si="30">IF(_xlfn.MINIFS(P:P,A:A,V32,D:D,W32)=0,"NA",_xlfn.MINIFS(P:P,A:A,V32,D:D,W32))</f>
        <v>NA</v>
      </c>
      <c r="AJ32" s="51" t="str">
        <f t="shared" ref="AJ32" si="31">IF(_xlfn.MAXIFS(P:P,A:A,V32,D:D,W32)=0,"NA",_xlfn.MAXIFS(P:P,A:A,V32,D:D,W32))</f>
        <v>NA</v>
      </c>
      <c r="AK32" s="51" t="str" cm="1">
        <f t="array" ref="AK32">IFERROR(_xlfn.TEXTJOIN(", ", TRUE, _xlfn.UNIQUE(_xlfn._xlws.FILTER(K$2:K$100, (A$2:A$100 = AF32) * (D$2:D$100 = AG32) * (J$2:J$100 &lt;= 0.05)))), "")</f>
        <v>Australia</v>
      </c>
      <c r="AL32" s="51" t="str" cm="1">
        <f t="array" ref="AL32">IFERROR(_xlfn.TEXTJOIN(", ", TRUE, _xlfn.UNIQUE(_xlfn._xlws.FILTER(L$2:L$100, (A$2:A$100 = AF32) * (D$2:D$100 = AG32) * (J$2:J$100 &lt;= 0.05)))), "")</f>
        <v>(A. Harris et al., 2016)</v>
      </c>
      <c r="AM32" s="51" t="str">
        <f t="shared" si="22"/>
        <v>OR / RRR</v>
      </c>
      <c r="AP32" s="44" t="str">
        <f t="shared" si="25"/>
        <v>Cost-Effectiveness Assessment Acceptable</v>
      </c>
      <c r="AQ32" s="46" t="str">
        <f t="shared" si="26"/>
        <v>OR / RRR</v>
      </c>
      <c r="AR32" s="194" t="str">
        <f t="shared" si="27"/>
        <v>2,58-6</v>
      </c>
      <c r="AS32" s="200">
        <f t="shared" si="28"/>
        <v>2.5792999999999999</v>
      </c>
      <c r="AT32" s="46">
        <f t="shared" si="29"/>
        <v>6.0019999999999998</v>
      </c>
      <c r="AU32" s="51" t="str" cm="1">
        <f t="array" ref="AU32">_xlfn.TEXTJOIN(", ", TRUE, _xlfn.UNIQUE(IF((AF$2:AF$100 = AP32) * (AM$2:AM$100 = AQ32), AK$2:AK$100, "")))</f>
        <v>Frannce (ASMR), UK</v>
      </c>
      <c r="AV32" s="51" t="str" cm="1">
        <f t="array" ref="AV32">_xlfn.TEXTJOIN(", ", TRUE, _xlfn.UNIQUE(IF((AF$2:AF$100 = AP32) * (AM$2:AM$100 = AQ32), AL$2:AL$100, "")))</f>
        <v>(Kergall et al., 2021), (Mauskopf et al., 2013)</v>
      </c>
      <c r="BA32" s="1" t="str" cm="1">
        <f t="array" ref="BA32">INDEX($AZ$1:$AZ$100,INT((ROW(A32)-1)/3)+1)</f>
        <v>Validiity of Cost-Effectiveness Assessment Acceptable</v>
      </c>
      <c r="BB32" s="1" t="str" cm="1">
        <f t="array" ref="BB32">INDEX({"OR","RRR","ME"},MOD(ROW(AB32)-1,3)+1)</f>
        <v>RRR</v>
      </c>
      <c r="BD32" s="1" t="str" cm="1">
        <f t="array" ref="BD32">INDEX($AZ$1:$AZ$100,INT((ROW(A32)-1)/2)+1)</f>
        <v>Cost-Effectiveness Assessment Acceptable</v>
      </c>
      <c r="BE32" s="6" t="str" cm="1">
        <f t="array" ref="BE32">INDEX({"OR / RRR";"ME"}, MOD(ROW(M32)-1, 2)+1)</f>
        <v>ME</v>
      </c>
    </row>
    <row r="33" spans="1:57" ht="60">
      <c r="A33" s="276" t="s">
        <v>1212</v>
      </c>
      <c r="B33" s="276" t="s">
        <v>903</v>
      </c>
      <c r="C33" s="277" t="s">
        <v>1215</v>
      </c>
      <c r="D33" s="276" t="s">
        <v>879</v>
      </c>
      <c r="E33" s="278">
        <v>2E-3</v>
      </c>
      <c r="F33" s="278">
        <v>0</v>
      </c>
      <c r="G33" s="278">
        <v>0.23200000000000001</v>
      </c>
      <c r="H33" s="278"/>
      <c r="I33" s="278"/>
      <c r="J33" s="277">
        <v>0.05</v>
      </c>
      <c r="K33" s="277" t="s">
        <v>182</v>
      </c>
      <c r="L33" s="279" t="s">
        <v>905</v>
      </c>
      <c r="M33" s="65"/>
      <c r="V33" s="100" t="str">
        <f t="shared" si="0"/>
        <v>Validiity of Cost-Effectiveness Assessment Acceptable</v>
      </c>
      <c r="W33" s="51" t="str">
        <f t="shared" si="1"/>
        <v>RRR</v>
      </c>
      <c r="X33" s="51" t="e">
        <f t="shared" si="2"/>
        <v>#VALUE!</v>
      </c>
      <c r="Y33" s="51" t="str">
        <f>IF(_xlfn.MINIFS(P:P,A:A,V33,D:D,W33)=0,"NA",_xlfn.MINIFS(P:P,A:A,V33,D:D,W33))</f>
        <v>NA</v>
      </c>
      <c r="Z33" s="51" t="str">
        <f>IF(_xlfn.MAXIFS(P:P,A:A,V33,D:D,W33)=0,"NA",_xlfn.MAXIFS(P:P,A:A,V33,D:D,W33))</f>
        <v>NA</v>
      </c>
      <c r="AA33" s="51" t="str" cm="1">
        <f t="array" ref="AA33">IFERROR(_xlfn.TEXTJOIN(", ", TRUE, _xlfn.UNIQUE(_xlfn._xlws.FILTER(K$2:K$100, (A$2:A$100 = V33) * (D$2:D$100 = W33)))), "")</f>
        <v/>
      </c>
      <c r="AB33" s="51" t="str" cm="1">
        <f t="array" ref="AB33">_xlfn.TEXTJOIN(", ", TRUE, _xlfn.UNIQUE(IF((A$2:A$100 = V33) * (D$2:D$100 = W33), L$2:L$100, "")))</f>
        <v/>
      </c>
      <c r="AC33" s="51" t="str">
        <f t="shared" si="5"/>
        <v>OR / RRR</v>
      </c>
      <c r="AF33" s="100" t="str">
        <f t="shared" si="17"/>
        <v>Validiity of Cost-Effectiveness Assessment Acceptable</v>
      </c>
      <c r="AG33" s="51" t="str">
        <f t="shared" si="18"/>
        <v>RRR</v>
      </c>
      <c r="AH33" s="194" t="e">
        <f t="shared" si="19"/>
        <v>#VALUE!</v>
      </c>
      <c r="AI33" s="51" t="str">
        <f t="shared" ref="AI33:AI34" si="32">IF(_xlfn.MINIFS(P:P,A:A,V33,D:D,W33)=0,"NA",_xlfn.MINIFS(P:P,A:A,V33,D:D,W33))</f>
        <v>NA</v>
      </c>
      <c r="AJ33" s="51" t="str">
        <f t="shared" ref="AJ33:AJ34" si="33">IF(_xlfn.MAXIFS(P:P,A:A,V33,D:D,W33)=0,"NA",_xlfn.MAXIFS(P:P,A:A,V33,D:D,W33))</f>
        <v>NA</v>
      </c>
      <c r="AK33" s="51" t="str" cm="1">
        <f t="array" ref="AK33">IFERROR(_xlfn.TEXTJOIN(", ", TRUE, _xlfn.UNIQUE(_xlfn._xlws.FILTER(K$2:K$100, (A$2:A$100 = AF33) * (D$2:D$100 = AG33) * (J$2:J$100 &lt;= 0.05)))), "")</f>
        <v/>
      </c>
      <c r="AL33" s="51" t="str" cm="1">
        <f t="array" ref="AL33">IFERROR(_xlfn.TEXTJOIN(", ", TRUE, _xlfn.UNIQUE(_xlfn._xlws.FILTER(L$2:L$100, (A$2:A$100 = AF33) * (D$2:D$100 = AG33) * (J$2:J$100 &lt;= 0.05)))), "")</f>
        <v/>
      </c>
      <c r="AM33" s="51" t="str">
        <f t="shared" si="22"/>
        <v>OR / RRR</v>
      </c>
      <c r="AP33" s="44" t="str">
        <f t="shared" si="25"/>
        <v>Cost-Effectiveness Assessment Acceptable</v>
      </c>
      <c r="AQ33" s="46" t="str">
        <f t="shared" si="26"/>
        <v>ME</v>
      </c>
      <c r="AR33" s="194" t="str">
        <f t="shared" si="27"/>
        <v>NO DATA</v>
      </c>
      <c r="AS33" s="200">
        <f t="shared" si="28"/>
        <v>0</v>
      </c>
      <c r="AT33" s="46">
        <f t="shared" si="29"/>
        <v>0</v>
      </c>
      <c r="AU33" s="51" t="str" cm="1">
        <f t="array" ref="AU33">_xlfn.TEXTJOIN(", ", TRUE, _xlfn.UNIQUE(IF((AF$2:AF$100 = AP33) * (AM$2:AM$100 = AQ33), AK$2:AK$100, "")))</f>
        <v/>
      </c>
      <c r="AV33" s="51" t="str" cm="1">
        <f t="array" ref="AV33">_xlfn.TEXTJOIN(", ", TRUE, _xlfn.UNIQUE(IF((AF$2:AF$100 = AP33) * (AM$2:AM$100 = AQ33), AL$2:AL$100, "")))</f>
        <v/>
      </c>
      <c r="BA33" s="1" t="str" cm="1">
        <f t="array" ref="BA33">INDEX($AZ$1:$AZ$100,INT((ROW(A33)-1)/3)+1)</f>
        <v>Validiity of Cost-Effectiveness Assessment Acceptable</v>
      </c>
      <c r="BB33" s="1" t="str" cm="1">
        <f t="array" ref="BB33">INDEX({"OR","RRR","ME"},MOD(ROW(AB33)-1,3)+1)</f>
        <v>ME</v>
      </c>
      <c r="BD33" s="1" t="str" cm="1">
        <f t="array" ref="BD33">INDEX($AZ$1:$AZ$100,INT((ROW(A33)-1)/2)+1)</f>
        <v>Including Cost-effectiveness assessment (unadjusted)</v>
      </c>
      <c r="BE33" s="6" t="str" cm="1">
        <f t="array" ref="BE33">INDEX({"OR / RRR";"ME"}, MOD(ROW(M33)-1, 2)+1)</f>
        <v>OR / RRR</v>
      </c>
    </row>
    <row r="34" spans="1:57" ht="45">
      <c r="A34" s="181" t="s">
        <v>1216</v>
      </c>
      <c r="B34" s="176" t="s">
        <v>907</v>
      </c>
      <c r="C34" s="171" t="s">
        <v>1217</v>
      </c>
      <c r="D34" s="169" t="s">
        <v>879</v>
      </c>
      <c r="E34" s="180">
        <v>2.72</v>
      </c>
      <c r="F34" s="180">
        <v>1.35</v>
      </c>
      <c r="G34" s="180">
        <v>5.47</v>
      </c>
      <c r="H34" s="180"/>
      <c r="I34" s="180"/>
      <c r="J34" s="171">
        <v>0.01</v>
      </c>
      <c r="K34" s="171" t="s">
        <v>365</v>
      </c>
      <c r="L34" s="173" t="s">
        <v>909</v>
      </c>
      <c r="M34" s="65"/>
      <c r="V34" s="100" t="str">
        <f t="shared" si="0"/>
        <v>Validiity of Cost-Effectiveness Assessment Acceptable</v>
      </c>
      <c r="W34" s="51" t="str">
        <f t="shared" si="1"/>
        <v>ME</v>
      </c>
      <c r="X34" s="51" t="e">
        <f t="shared" si="2"/>
        <v>#VALUE!</v>
      </c>
      <c r="Y34" s="51" t="str">
        <f>IF(_xlfn.MINIFS(P:P,A:A,V34,D:D,W34)=0,"NA",_xlfn.MINIFS(P:P,A:A,V34,D:D,W34))</f>
        <v>NA</v>
      </c>
      <c r="Z34" s="51" t="str">
        <f>IF(_xlfn.MAXIFS(P:P,A:A,V34,D:D,W34)=0,"NA",_xlfn.MAXIFS(P:P,A:A,V34,D:D,W34))</f>
        <v>NA</v>
      </c>
      <c r="AA34" s="51" t="str" cm="1">
        <f t="array" ref="AA34">IFERROR(_xlfn.TEXTJOIN(", ", TRUE, _xlfn.UNIQUE(_xlfn._xlws.FILTER(K$2:K$100, (A$2:A$100 = V34) * (D$2:D$100 = W34)))), "")</f>
        <v>Australia</v>
      </c>
      <c r="AB34" s="51" t="str" cm="1">
        <f t="array" ref="AB34">_xlfn.TEXTJOIN(", ", TRUE, _xlfn.UNIQUE(IF((A$2:A$100 = V34) * (D$2:D$100 = W34), L$2:L$100, "")))</f>
        <v>A. H. Harris et al., 2008</v>
      </c>
      <c r="AC34" s="51" t="str">
        <f t="shared" si="5"/>
        <v>ME</v>
      </c>
      <c r="AF34" s="100" t="str">
        <f t="shared" si="17"/>
        <v>Validiity of Cost-Effectiveness Assessment Acceptable</v>
      </c>
      <c r="AG34" s="51" t="str">
        <f t="shared" si="18"/>
        <v>ME</v>
      </c>
      <c r="AH34" s="194" t="e">
        <f t="shared" si="19"/>
        <v>#VALUE!</v>
      </c>
      <c r="AI34" s="51" t="str">
        <f t="shared" si="32"/>
        <v>NA</v>
      </c>
      <c r="AJ34" s="51" t="str">
        <f t="shared" si="33"/>
        <v>NA</v>
      </c>
      <c r="AK34" s="51" t="str" cm="1">
        <f t="array" ref="AK34">IFERROR(_xlfn.TEXTJOIN(", ", TRUE, _xlfn.UNIQUE(_xlfn._xlws.FILTER(K$2:K$100, (A$2:A$100 = AF34) * (D$2:D$100 = AG34) * (J$2:J$100 &lt;= 0.05)))), "")</f>
        <v/>
      </c>
      <c r="AL34" s="51" t="str" cm="1">
        <f t="array" ref="AL34">IFERROR(_xlfn.TEXTJOIN(", ", TRUE, _xlfn.UNIQUE(_xlfn._xlws.FILTER(L$2:L$100, (A$2:A$100 = AF34) * (D$2:D$100 = AG34) * (J$2:J$100 &lt;= 0.05)))), "")</f>
        <v/>
      </c>
      <c r="AM34" s="51" t="str">
        <f t="shared" si="22"/>
        <v>ME</v>
      </c>
      <c r="AP34" s="44" t="str">
        <f t="shared" si="25"/>
        <v>Including Cost-effectiveness assessment (unadjusted)</v>
      </c>
      <c r="AQ34" s="46" t="str">
        <f t="shared" si="26"/>
        <v>OR / RRR</v>
      </c>
      <c r="AR34" s="194" t="str">
        <f t="shared" si="27"/>
        <v>NO DATA</v>
      </c>
      <c r="AS34" s="200">
        <f t="shared" si="28"/>
        <v>0</v>
      </c>
      <c r="AT34" s="46">
        <f t="shared" si="29"/>
        <v>0</v>
      </c>
      <c r="AU34" s="51" t="str" cm="1">
        <f t="array" ref="AU34">_xlfn.TEXTJOIN(", ", TRUE, _xlfn.UNIQUE(IF((AF$2:AF$100 = AP34) * (AM$2:AM$100 = AQ34), AK$2:AK$100, "")))</f>
        <v/>
      </c>
      <c r="AV34" s="51" t="str" cm="1">
        <f t="array" ref="AV34">_xlfn.TEXTJOIN(", ", TRUE, _xlfn.UNIQUE(IF((AF$2:AF$100 = AP34) * (AM$2:AM$100 = AQ34), AL$2:AL$100, "")))</f>
        <v/>
      </c>
      <c r="BA34" s="1" t="str" cm="1">
        <f t="array" ref="BA34">INDEX($AZ$1:$AZ$100,INT((ROW(A34)-1)/3)+1)</f>
        <v>ICER (10K int$ / QALY)</v>
      </c>
      <c r="BB34" s="1" t="str" cm="1">
        <f t="array" ref="BB34">INDEX({"OR","RRR","ME"},MOD(ROW(AB34)-1,3)+1)</f>
        <v>OR</v>
      </c>
      <c r="BD34" s="1" t="str" cm="1">
        <f t="array" ref="BD34">INDEX($AZ$1:$AZ$100,INT((ROW(A34)-1)/2)+1)</f>
        <v>Including Cost-effectiveness assessment (unadjusted)</v>
      </c>
      <c r="BE34" s="6" t="str" cm="1">
        <f t="array" ref="BE34">INDEX({"OR / RRR";"ME"}, MOD(ROW(M34)-1, 2)+1)</f>
        <v>ME</v>
      </c>
    </row>
    <row r="35" spans="1:57" ht="173.25" customHeight="1">
      <c r="A35" s="275" t="s">
        <v>1212</v>
      </c>
      <c r="B35" s="276" t="s">
        <v>878</v>
      </c>
      <c r="C35" s="283" t="s">
        <v>1218</v>
      </c>
      <c r="D35" s="276" t="s">
        <v>879</v>
      </c>
      <c r="E35" s="278">
        <f>EXP(-4.074)</f>
        <v>1.7009215390586124E-2</v>
      </c>
      <c r="F35" s="278">
        <f>EXP(-6.357)</f>
        <v>1.7345626019309209E-3</v>
      </c>
      <c r="G35" s="278">
        <f>EXP(-1.791)</f>
        <v>0.16679329294963877</v>
      </c>
      <c r="H35" s="278"/>
      <c r="I35" s="278"/>
      <c r="J35" s="283">
        <v>1E-3</v>
      </c>
      <c r="K35" s="283" t="s">
        <v>365</v>
      </c>
      <c r="L35" s="283" t="s">
        <v>895</v>
      </c>
      <c r="M35" s="67"/>
      <c r="V35" s="45" t="str">
        <f t="shared" si="0"/>
        <v>ICER (10K int$ / QALY)</v>
      </c>
      <c r="W35" s="221" t="str">
        <f t="shared" si="1"/>
        <v>OR</v>
      </c>
      <c r="X35" s="221" t="str">
        <f t="shared" si="2"/>
        <v>0,64-1</v>
      </c>
      <c r="Y35" s="221">
        <f t="shared" si="3"/>
        <v>0.64</v>
      </c>
      <c r="Z35" s="221">
        <f t="shared" si="4"/>
        <v>0.9999200031999147</v>
      </c>
      <c r="AA35" s="221" t="str" cm="1">
        <f t="array" ref="AA35">IFERROR(_xlfn.TEXTJOIN(", ", TRUE, _xlfn.UNIQUE(_xlfn._xlws.FILTER(K$2:K$100, (A$2:A$100 = V35) * (D$2:D$100 = W35)))), "")</f>
        <v>Norway, UK, South Korea, Ireland, Sweden, Australia</v>
      </c>
      <c r="AB35" s="221" t="str" cm="1">
        <f t="array" ref="AB35">_xlfn.TEXTJOIN(", ", TRUE, _xlfn.UNIQUE(IF((A$2:A$100 = V35) * (D$2:D$100 = W35), L$2:L$100, "")))</f>
        <v>(Tranvåg et al., 2022), (H. Dakin, Devlin, Feng, Rice, O’Neill, et al., 2015), (Bae et al., 2018), (Schmitz et al., 2016), (Strand et al., 2022), (Mauskopf et al., 2013), (Svensson et al., 2015), (A. Harris et al., 2016)</v>
      </c>
      <c r="AC35" s="221" t="str">
        <f t="shared" si="5"/>
        <v>OR / RRR</v>
      </c>
      <c r="AF35" s="45" t="str">
        <f t="shared" si="17"/>
        <v>ICER (10K int$ / QALY)</v>
      </c>
      <c r="AG35" s="221" t="str">
        <f t="shared" si="18"/>
        <v>OR</v>
      </c>
      <c r="AH35" s="273" t="str">
        <f t="shared" si="19"/>
        <v>0,64-1</v>
      </c>
      <c r="AI35" s="221">
        <f t="shared" si="20"/>
        <v>0.64</v>
      </c>
      <c r="AJ35" s="221">
        <f t="shared" si="21"/>
        <v>0.9999200031999147</v>
      </c>
      <c r="AK35" s="221" t="str" cm="1">
        <f t="array" ref="AK35">IFERROR(_xlfn.TEXTJOIN(", ", TRUE, _xlfn.UNIQUE(_xlfn._xlws.FILTER(K$2:K$100, (A$2:A$100 = AF35) * (D$2:D$100 = AG35) * (J$2:J$100 &lt;= 0.05)))), "")</f>
        <v>Norway, UK, South Korea, Ireland, Sweden, Australia</v>
      </c>
      <c r="AL35" s="221" t="str" cm="1">
        <f t="array" ref="AL35">IFERROR(_xlfn.TEXTJOIN(", ", TRUE, _xlfn.UNIQUE(_xlfn._xlws.FILTER(L$2:L$100, (A$2:A$100 = AF35) * (D$2:D$100 = AG35) * (J$2:J$100 &lt;= 0.05)))), "")</f>
        <v>(Tranvåg et al., 2022), (H. Dakin, Devlin, Feng, Rice, O’Neill, et al., 2015), (Bae et al., 2018), (Schmitz et al., 2016), (Strand et al., 2022), (Mauskopf et al., 2013), (Svensson et al., 2015), (A. Harris et al., 2016)</v>
      </c>
      <c r="AM35" s="221" t="str">
        <f t="shared" si="22"/>
        <v>OR / RRR</v>
      </c>
      <c r="AP35" s="44" t="str">
        <f t="shared" si="25"/>
        <v>Including Cost-effectiveness assessment (unadjusted)</v>
      </c>
      <c r="AQ35" s="46" t="str">
        <f t="shared" si="26"/>
        <v>ME</v>
      </c>
      <c r="AR35" s="194" t="str">
        <f t="shared" si="27"/>
        <v>NO DATA</v>
      </c>
      <c r="AS35" s="200">
        <f t="shared" si="28"/>
        <v>0</v>
      </c>
      <c r="AT35" s="46">
        <f t="shared" si="29"/>
        <v>0</v>
      </c>
      <c r="AU35" s="51" t="str" cm="1">
        <f t="array" ref="AU35">_xlfn.TEXTJOIN(", ", TRUE, _xlfn.UNIQUE(IF((AF$2:AF$100 = AP35) * (AM$2:AM$100 = AQ35), AK$2:AK$100, "")))</f>
        <v/>
      </c>
      <c r="AV35" s="51" t="str" cm="1">
        <f t="array" ref="AV35">_xlfn.TEXTJOIN(", ", TRUE, _xlfn.UNIQUE(IF((AF$2:AF$100 = AP35) * (AM$2:AM$100 = AQ35), AL$2:AL$100, "")))</f>
        <v/>
      </c>
      <c r="BA35" s="1" t="str" cm="1">
        <f t="array" ref="BA35">INDEX($AZ$1:$AZ$100,INT((ROW(A35)-1)/3)+1)</f>
        <v>ICER (10K int$ / QALY)</v>
      </c>
      <c r="BB35" s="1" t="str" cm="1">
        <f t="array" ref="BB35">INDEX({"OR","RRR","ME"},MOD(ROW(AB35)-1,3)+1)</f>
        <v>RRR</v>
      </c>
      <c r="BD35" s="1" t="str" cm="1">
        <f t="array" ref="BD35">INDEX($AZ$1:$AZ$100,INT((ROW(A35)-1)/2)+1)</f>
        <v>Including Cost-effectiveness assessment</v>
      </c>
      <c r="BE35" s="6" t="str" cm="1">
        <f t="array" ref="BE35">INDEX({"OR / RRR";"ME"}, MOD(ROW(M35)-1, 2)+1)</f>
        <v>OR / RRR</v>
      </c>
    </row>
    <row r="36" spans="1:57" ht="60">
      <c r="A36" s="275" t="s">
        <v>1219</v>
      </c>
      <c r="B36" s="276" t="s">
        <v>969</v>
      </c>
      <c r="C36" s="277" t="s">
        <v>1220</v>
      </c>
      <c r="D36" s="276" t="s">
        <v>879</v>
      </c>
      <c r="E36" s="278">
        <v>0.92</v>
      </c>
      <c r="F36" s="278">
        <v>0.86</v>
      </c>
      <c r="G36" s="278">
        <v>0.98</v>
      </c>
      <c r="H36" s="278"/>
      <c r="I36" s="278"/>
      <c r="J36" s="277">
        <v>0.05</v>
      </c>
      <c r="K36" s="277" t="s">
        <v>246</v>
      </c>
      <c r="L36" s="279" t="s">
        <v>979</v>
      </c>
      <c r="M36" s="86">
        <v>10000</v>
      </c>
      <c r="N36" s="82">
        <v>1</v>
      </c>
      <c r="O36" s="80">
        <v>10000</v>
      </c>
      <c r="P36" s="81">
        <f>E36^(O36/(M36/N36))</f>
        <v>0.92</v>
      </c>
      <c r="Q36" s="82">
        <f>F36^(O36/(M36/N36))</f>
        <v>0.86</v>
      </c>
      <c r="R36" s="82">
        <f>G36^(O36/(M36/N36))</f>
        <v>0.98</v>
      </c>
      <c r="V36" s="45" t="str">
        <f t="shared" si="0"/>
        <v>ICER (10K int$ / QALY)</v>
      </c>
      <c r="W36" s="221" t="str">
        <f t="shared" si="1"/>
        <v>RRR</v>
      </c>
      <c r="X36" s="221">
        <f t="shared" si="2"/>
        <v>1</v>
      </c>
      <c r="Y36" s="221">
        <f t="shared" si="3"/>
        <v>0.9999130037843903</v>
      </c>
      <c r="Z36" s="221">
        <f t="shared" si="4"/>
        <v>0.9999130037843903</v>
      </c>
      <c r="AA36" s="221" t="str" cm="1">
        <f t="array" ref="AA36">IFERROR(_xlfn.TEXTJOIN(", ", TRUE, _xlfn.UNIQUE(_xlfn._xlws.FILTER(K$2:K$100, (A$2:A$100 = V36) * (D$2:D$100 = W36)))), "")</f>
        <v>UK</v>
      </c>
      <c r="AB36" s="221" t="str" cm="1">
        <f t="array" ref="AB36">_xlfn.TEXTJOIN(", ", TRUE, _xlfn.UNIQUE(IF((A$2:A$100 = V36) * (D$2:D$100 = W36), L$2:L$100, "")))</f>
        <v>(Cerri, Knapp, &amp; Fernandez, 2014b)</v>
      </c>
      <c r="AC36" s="221" t="str">
        <f t="shared" si="5"/>
        <v>OR / RRR</v>
      </c>
      <c r="AF36" s="45" t="str">
        <f t="shared" si="17"/>
        <v>ICER (10K int$ / QALY)</v>
      </c>
      <c r="AG36" s="221" t="str">
        <f t="shared" si="18"/>
        <v>RRR</v>
      </c>
      <c r="AH36" s="273">
        <f t="shared" si="19"/>
        <v>1</v>
      </c>
      <c r="AI36" s="221">
        <f t="shared" si="20"/>
        <v>0.9999130037843903</v>
      </c>
      <c r="AJ36" s="221">
        <f t="shared" si="21"/>
        <v>0.9999130037843903</v>
      </c>
      <c r="AK36" s="221" t="str" cm="1">
        <f t="array" ref="AK36">IFERROR(_xlfn.TEXTJOIN(", ", TRUE, _xlfn.UNIQUE(_xlfn._xlws.FILTER(K$2:K$100, (A$2:A$100 = AF36) * (D$2:D$100 = AG36) * (J$2:J$100 &lt;= 0.05)))), "")</f>
        <v>UK</v>
      </c>
      <c r="AL36" s="221" t="str" cm="1">
        <f t="array" ref="AL36">IFERROR(_xlfn.TEXTJOIN(", ", TRUE, _xlfn.UNIQUE(_xlfn._xlws.FILTER(L$2:L$100, (A$2:A$100 = AF36) * (D$2:D$100 = AG36) * (J$2:J$100 &lt;= 0.05)))), "")</f>
        <v>(Cerri, Knapp, &amp; Fernandez, 2014b)</v>
      </c>
      <c r="AM36" s="221" t="str">
        <f t="shared" si="22"/>
        <v>OR / RRR</v>
      </c>
      <c r="AP36" s="44" t="str">
        <f t="shared" si="25"/>
        <v>Including Cost-effectiveness assessment</v>
      </c>
      <c r="AQ36" s="46" t="str">
        <f t="shared" si="26"/>
        <v>OR / RRR</v>
      </c>
      <c r="AR36" s="194" t="str">
        <f t="shared" si="27"/>
        <v>NO DATA</v>
      </c>
      <c r="AS36" s="200">
        <f t="shared" si="28"/>
        <v>0</v>
      </c>
      <c r="AT36" s="46">
        <f t="shared" si="29"/>
        <v>0</v>
      </c>
      <c r="AU36" s="51" t="str" cm="1">
        <f t="array" ref="AU36">_xlfn.TEXTJOIN(", ", TRUE, _xlfn.UNIQUE(IF((AF$2:AF$100 = AP36) * (AM$2:AM$100 = AQ36), AK$2:AK$100, "")))</f>
        <v/>
      </c>
      <c r="AV36" s="51" t="str" cm="1">
        <f t="array" ref="AV36">_xlfn.TEXTJOIN(", ", TRUE, _xlfn.UNIQUE(IF((AF$2:AF$100 = AP36) * (AM$2:AM$100 = AQ36), AL$2:AL$100, "")))</f>
        <v/>
      </c>
      <c r="BA36" s="1" t="str" cm="1">
        <f t="array" ref="BA36">INDEX($AZ$1:$AZ$100,INT((ROW(A36)-1)/3)+1)</f>
        <v>ICER (10K int$ / QALY)</v>
      </c>
      <c r="BB36" s="1" t="str" cm="1">
        <f t="array" ref="BB36">INDEX({"OR","RRR","ME"},MOD(ROW(AB36)-1,3)+1)</f>
        <v>ME</v>
      </c>
      <c r="BD36" s="1" t="str" cm="1">
        <f t="array" ref="BD36">INDEX($AZ$1:$AZ$100,INT((ROW(A36)-1)/2)+1)</f>
        <v>Including Cost-effectiveness assessment</v>
      </c>
      <c r="BE36" s="6" t="str" cm="1">
        <f t="array" ref="BE36">INDEX({"OR / RRR";"ME"}, MOD(ROW(M36)-1, 2)+1)</f>
        <v>ME</v>
      </c>
    </row>
    <row r="37" spans="1:57" ht="45">
      <c r="A37" s="275" t="s">
        <v>1219</v>
      </c>
      <c r="B37" s="276" t="s">
        <v>878</v>
      </c>
      <c r="C37" s="277" t="s">
        <v>367</v>
      </c>
      <c r="D37" s="276" t="s">
        <v>879</v>
      </c>
      <c r="E37" s="278">
        <v>0.92500000000000004</v>
      </c>
      <c r="F37" s="278">
        <v>0.89300000000000002</v>
      </c>
      <c r="G37" s="278">
        <v>0.95899999999999996</v>
      </c>
      <c r="H37" s="278"/>
      <c r="I37" s="278"/>
      <c r="J37" s="277">
        <v>0.05</v>
      </c>
      <c r="K37" s="277" t="s">
        <v>840</v>
      </c>
      <c r="L37" s="279" t="s">
        <v>889</v>
      </c>
      <c r="M37" s="86">
        <v>1000</v>
      </c>
      <c r="N37" s="82">
        <f>AVERAGE('LCU to Int$ per year'!B11:B23)</f>
        <v>0.70244184615384608</v>
      </c>
      <c r="O37" s="80">
        <v>10000</v>
      </c>
      <c r="P37" s="81">
        <f>E37^(O37/(M37/N37))</f>
        <v>0.57831620571290665</v>
      </c>
      <c r="Q37" s="82">
        <f>F37^(O37/(M37/N37))</f>
        <v>0.45160639220168441</v>
      </c>
      <c r="R37" s="82">
        <f>G37^(O37/(M37/N37))</f>
        <v>0.74522306586649889</v>
      </c>
      <c r="V37" s="45" t="str">
        <f t="shared" si="0"/>
        <v>ICER (10K int$ / QALY)</v>
      </c>
      <c r="W37" s="221" t="str">
        <f t="shared" si="1"/>
        <v>ME</v>
      </c>
      <c r="X37" s="221">
        <f t="shared" si="2"/>
        <v>-0.06</v>
      </c>
      <c r="Y37" s="221">
        <f t="shared" si="3"/>
        <v>-0.06</v>
      </c>
      <c r="Z37" s="221">
        <f t="shared" si="4"/>
        <v>-0.06</v>
      </c>
      <c r="AA37" s="221" t="str" cm="1">
        <f t="array" ref="AA37">IFERROR(_xlfn.TEXTJOIN(", ", TRUE, _xlfn.UNIQUE(_xlfn._xlws.FILTER(K$2:K$100, (A$2:A$100 = V37) * (D$2:D$100 = W37)))), "")</f>
        <v>Australia</v>
      </c>
      <c r="AB37" s="221" t="str" cm="1">
        <f t="array" ref="AB37">_xlfn.TEXTJOIN(", ", TRUE, _xlfn.UNIQUE(IF((A$2:A$100 = V37) * (D$2:D$100 = W37), L$2:L$100, "")))</f>
        <v>(A. H. Harris et al., 2008)</v>
      </c>
      <c r="AC37" s="221" t="str">
        <f t="shared" si="5"/>
        <v>ME</v>
      </c>
      <c r="AF37" s="45" t="str">
        <f t="shared" si="17"/>
        <v>ICER (10K int$ / QALY)</v>
      </c>
      <c r="AG37" s="221" t="str">
        <f t="shared" si="18"/>
        <v>ME</v>
      </c>
      <c r="AH37" s="273">
        <f t="shared" si="19"/>
        <v>-0.06</v>
      </c>
      <c r="AI37" s="221">
        <f t="shared" si="20"/>
        <v>-0.06</v>
      </c>
      <c r="AJ37" s="221">
        <f t="shared" si="21"/>
        <v>-0.06</v>
      </c>
      <c r="AK37" s="221" t="str" cm="1">
        <f t="array" ref="AK37">IFERROR(_xlfn.TEXTJOIN(", ", TRUE, _xlfn.UNIQUE(_xlfn._xlws.FILTER(K$2:K$100, (A$2:A$100 = AF37) * (D$2:D$100 = AG37) * (J$2:J$100 &lt;= 0.05)))), "")</f>
        <v>Australia</v>
      </c>
      <c r="AL37" s="221" t="str" cm="1">
        <f t="array" ref="AL37">IFERROR(_xlfn.TEXTJOIN(", ", TRUE, _xlfn.UNIQUE(_xlfn._xlws.FILTER(L$2:L$100, (A$2:A$100 = AF37) * (D$2:D$100 = AG37) * (J$2:J$100 &lt;= 0.05)))), "")</f>
        <v>(A. H. Harris et al., 2008)</v>
      </c>
      <c r="AM37" s="221" t="str">
        <f t="shared" si="22"/>
        <v>ME</v>
      </c>
      <c r="AP37" s="44" t="str">
        <f t="shared" si="25"/>
        <v>Including Cost-effectiveness assessment</v>
      </c>
      <c r="AQ37" s="46" t="str">
        <f t="shared" si="26"/>
        <v>ME</v>
      </c>
      <c r="AR37" s="194" t="str">
        <f t="shared" si="27"/>
        <v>NO DATA</v>
      </c>
      <c r="AS37" s="200">
        <f t="shared" si="28"/>
        <v>0</v>
      </c>
      <c r="AT37" s="46">
        <f t="shared" si="29"/>
        <v>0</v>
      </c>
      <c r="AU37" s="51" t="str" cm="1">
        <f t="array" ref="AU37">_xlfn.TEXTJOIN(", ", TRUE, _xlfn.UNIQUE(IF((AF$2:AF$100 = AP37) * (AM$2:AM$100 = AQ37), AK$2:AK$100, "")))</f>
        <v/>
      </c>
      <c r="AV37" s="51" t="str" cm="1">
        <f t="array" ref="AV37">_xlfn.TEXTJOIN(", ", TRUE, _xlfn.UNIQUE(IF((AF$2:AF$100 = AP37) * (AM$2:AM$100 = AQ37), AL$2:AL$100, "")))</f>
        <v/>
      </c>
      <c r="BA37" s="1" t="str" cm="1">
        <f t="array" ref="BA37">INDEX($AZ$1:$AZ$100,INT((ROW(A37)-1)/3)+1)</f>
        <v>ICER &lt; Threshold</v>
      </c>
      <c r="BB37" s="1" t="str" cm="1">
        <f t="array" ref="BB37">INDEX({"OR","RRR","ME"},MOD(ROW(AB37)-1,3)+1)</f>
        <v>OR</v>
      </c>
      <c r="BD37" s="1" t="str" cm="1">
        <f t="array" ref="BD37">INDEX($AZ$1:$AZ$100,INT((ROW(A37)-1)/2)+1)</f>
        <v>Including Price Negotiations (unadjusted)</v>
      </c>
      <c r="BE37" s="6" t="str" cm="1">
        <f t="array" ref="BE37">INDEX({"OR / RRR";"ME"}, MOD(ROW(M37)-1, 2)+1)</f>
        <v>OR / RRR</v>
      </c>
    </row>
    <row r="38" spans="1:57" ht="45">
      <c r="A38" s="275" t="s">
        <v>1219</v>
      </c>
      <c r="B38" s="276" t="s">
        <v>949</v>
      </c>
      <c r="C38" s="277" t="s">
        <v>367</v>
      </c>
      <c r="D38" s="276" t="s">
        <v>891</v>
      </c>
      <c r="E38" s="278">
        <f>1/EXP(0.000087)</f>
        <v>0.9999130037843903</v>
      </c>
      <c r="F38" s="278">
        <f>1/EXP(0.000042)</f>
        <v>0.99995800088198761</v>
      </c>
      <c r="G38" s="278">
        <f>1/EXP(0.000131)</f>
        <v>0.99986900858012528</v>
      </c>
      <c r="H38" s="278"/>
      <c r="I38" s="278"/>
      <c r="J38" s="277">
        <v>8.9999999999999993E-3</v>
      </c>
      <c r="K38" s="277" t="s">
        <v>840</v>
      </c>
      <c r="L38" s="279" t="s">
        <v>1037</v>
      </c>
      <c r="M38" s="74">
        <v>1</v>
      </c>
      <c r="N38" s="77">
        <f>AVERAGE('LCU to Int$ per year'!B16:B21)</f>
        <v>0.70213216666666678</v>
      </c>
      <c r="O38" s="75">
        <v>10000</v>
      </c>
      <c r="P38" s="76">
        <f>E38^(O38/(M38/N38))</f>
        <v>0.54288651076985728</v>
      </c>
      <c r="Q38" s="77">
        <f>F38^(O38/(M38/N38))</f>
        <v>0.74460938763584983</v>
      </c>
      <c r="R38" s="77">
        <f>G38^(O38/(M38/N38))</f>
        <v>0.39860148792467459</v>
      </c>
      <c r="V38" s="44" t="str">
        <f t="shared" si="0"/>
        <v>ICER &lt; Threshold</v>
      </c>
      <c r="W38" s="51" t="str">
        <f t="shared" si="1"/>
        <v>OR</v>
      </c>
      <c r="X38" s="51" t="str">
        <f t="shared" si="2"/>
        <v>3,08-10,88</v>
      </c>
      <c r="Y38" s="51">
        <f t="shared" si="3"/>
        <v>3.08</v>
      </c>
      <c r="Z38" s="51">
        <f t="shared" si="4"/>
        <v>10.880802522861678</v>
      </c>
      <c r="AA38" s="51" t="str" cm="1">
        <f t="array" ref="AA38">IFERROR(_xlfn.TEXTJOIN(", ", TRUE, _xlfn.UNIQUE(_xlfn._xlws.FILTER(K$2:K$100, (A$2:A$100 = V38) * (D$2:D$100 = W38)))), "")</f>
        <v>UK, Scotland</v>
      </c>
      <c r="AB38" s="51" t="str" cm="1">
        <f t="array" ref="AB38">_xlfn.TEXTJOIN(", ", TRUE, _xlfn.UNIQUE(IF((A$2:A$100 = V38) * (D$2:D$100 = W38), L$2:L$100, "")))</f>
        <v>(Schaefer et al., 2023), (Charokopou et al., 2015)</v>
      </c>
      <c r="AC38" s="51" t="str">
        <f t="shared" si="5"/>
        <v>OR / RRR</v>
      </c>
      <c r="AF38" s="44" t="str">
        <f t="shared" si="17"/>
        <v>ICER &lt; Threshold</v>
      </c>
      <c r="AG38" s="51" t="str">
        <f t="shared" si="18"/>
        <v>OR</v>
      </c>
      <c r="AH38" s="194" t="str">
        <f t="shared" si="19"/>
        <v>3,08-10,88</v>
      </c>
      <c r="AI38" s="51">
        <f t="shared" si="20"/>
        <v>3.08</v>
      </c>
      <c r="AJ38" s="51">
        <f t="shared" si="21"/>
        <v>10.880802522861678</v>
      </c>
      <c r="AK38" s="51" t="str" cm="1">
        <f t="array" ref="AK38">IFERROR(_xlfn.TEXTJOIN(", ", TRUE, _xlfn.UNIQUE(_xlfn._xlws.FILTER(K$2:K$100, (A$2:A$100 = AF38) * (D$2:D$100 = AG38) * (J$2:J$100 &lt;= 0.05)))), "")</f>
        <v>UK, Scotland</v>
      </c>
      <c r="AL38" s="51" t="str" cm="1">
        <f t="array" ref="AL38">IFERROR(_xlfn.TEXTJOIN(", ", TRUE, _xlfn.UNIQUE(_xlfn._xlws.FILTER(L$2:L$100, (A$2:A$100 = AF38) * (D$2:D$100 = AG38) * (J$2:J$100 &lt;= 0.05)))), "")</f>
        <v>(Schaefer et al., 2023), (Charokopou et al., 2015)</v>
      </c>
      <c r="AM38" s="51" t="str">
        <f t="shared" si="22"/>
        <v>OR / RRR</v>
      </c>
      <c r="AP38" s="44" t="str">
        <f t="shared" si="25"/>
        <v>Including Price Negotiations (unadjusted)</v>
      </c>
      <c r="AQ38" s="46" t="str">
        <f t="shared" si="26"/>
        <v>OR / RRR</v>
      </c>
      <c r="AR38" s="194" t="str">
        <f t="shared" si="27"/>
        <v>NO DATA</v>
      </c>
      <c r="AS38" s="200">
        <f t="shared" si="28"/>
        <v>0</v>
      </c>
      <c r="AT38" s="46">
        <f t="shared" si="29"/>
        <v>0</v>
      </c>
      <c r="AU38" s="51" t="str" cm="1">
        <f t="array" ref="AU38">_xlfn.TEXTJOIN(", ", TRUE, _xlfn.UNIQUE(IF((AF$2:AF$100 = AP38) * (AM$2:AM$100 = AQ38), AK$2:AK$100, "")))</f>
        <v/>
      </c>
      <c r="AV38" s="51" t="str" cm="1">
        <f t="array" ref="AV38">_xlfn.TEXTJOIN(", ", TRUE, _xlfn.UNIQUE(IF((AF$2:AF$100 = AP38) * (AM$2:AM$100 = AQ38), AL$2:AL$100, "")))</f>
        <v/>
      </c>
      <c r="BA38" s="1" t="str" cm="1">
        <f t="array" ref="BA38">INDEX($AZ$1:$AZ$100,INT((ROW(A38)-1)/3)+1)</f>
        <v>ICER &lt; Threshold</v>
      </c>
      <c r="BB38" s="1" t="str" cm="1">
        <f t="array" ref="BB38">INDEX({"OR","RRR","ME"},MOD(ROW(AB38)-1,3)+1)</f>
        <v>RRR</v>
      </c>
      <c r="BD38" s="1" t="str" cm="1">
        <f t="array" ref="BD38">INDEX($AZ$1:$AZ$100,INT((ROW(A38)-1)/2)+1)</f>
        <v>Including Price Negotiations (unadjusted)</v>
      </c>
      <c r="BE38" s="6" t="str" cm="1">
        <f t="array" ref="BE38">INDEX({"OR / RRR";"ME"}, MOD(ROW(M38)-1, 2)+1)</f>
        <v>ME</v>
      </c>
    </row>
    <row r="39" spans="1:57" ht="30">
      <c r="A39" s="275" t="s">
        <v>1219</v>
      </c>
      <c r="B39" s="280" t="s">
        <v>903</v>
      </c>
      <c r="C39" s="281" t="s">
        <v>367</v>
      </c>
      <c r="D39" s="280" t="s">
        <v>879</v>
      </c>
      <c r="E39" s="282">
        <v>0.85499999999999998</v>
      </c>
      <c r="F39" s="282">
        <v>0.753</v>
      </c>
      <c r="G39" s="282">
        <v>0.97099999999999997</v>
      </c>
      <c r="H39" s="282"/>
      <c r="I39" s="282"/>
      <c r="J39" s="281">
        <v>0.05</v>
      </c>
      <c r="K39" s="281" t="s">
        <v>182</v>
      </c>
      <c r="L39" s="281" t="s">
        <v>905</v>
      </c>
      <c r="M39" s="74">
        <v>1000000</v>
      </c>
      <c r="N39" s="74">
        <f>AVERAGE('LCU to Int$ per year'!F19:F28)</f>
        <v>839.19415550000008</v>
      </c>
      <c r="O39" s="74">
        <v>10000</v>
      </c>
      <c r="P39" s="74">
        <f>E39^(O39/(M39/N39))</f>
        <v>0.26857377964112084</v>
      </c>
      <c r="Q39" s="74">
        <f>F39^(O39/(M39/N39))</f>
        <v>9.2484859470932226E-2</v>
      </c>
      <c r="R39" s="74">
        <f>G39^(O39/(M39/N39))</f>
        <v>0.78116814380504063</v>
      </c>
      <c r="V39" s="44" t="str">
        <f t="shared" si="0"/>
        <v>ICER &lt; Threshold</v>
      </c>
      <c r="W39" s="51" t="str">
        <f t="shared" si="1"/>
        <v>RRR</v>
      </c>
      <c r="X39" s="51" t="e">
        <f t="shared" si="2"/>
        <v>#VALUE!</v>
      </c>
      <c r="Y39" s="51" t="str">
        <f t="shared" si="3"/>
        <v>NA</v>
      </c>
      <c r="Z39" s="51" t="str">
        <f t="shared" si="4"/>
        <v>NA</v>
      </c>
      <c r="AA39" s="51" t="str" cm="1">
        <f t="array" ref="AA39">IFERROR(_xlfn.TEXTJOIN(", ", TRUE, _xlfn.UNIQUE(_xlfn._xlws.FILTER(K$2:K$100, (A$2:A$100 = V39) * (D$2:D$100 = W39)))), "")</f>
        <v/>
      </c>
      <c r="AB39" s="51" t="str" cm="1">
        <f t="array" ref="AB39">_xlfn.TEXTJOIN(", ", TRUE, _xlfn.UNIQUE(IF((A$2:A$100 = V39) * (D$2:D$100 = W39), L$2:L$100, "")))</f>
        <v/>
      </c>
      <c r="AC39" s="51" t="str">
        <f t="shared" si="5"/>
        <v>OR / RRR</v>
      </c>
      <c r="AF39" s="44" t="str">
        <f t="shared" si="17"/>
        <v>ICER &lt; Threshold</v>
      </c>
      <c r="AG39" s="51" t="str">
        <f t="shared" si="18"/>
        <v>RRR</v>
      </c>
      <c r="AH39" s="194" t="e">
        <f t="shared" si="19"/>
        <v>#VALUE!</v>
      </c>
      <c r="AI39" s="51" t="str">
        <f t="shared" si="20"/>
        <v>NA</v>
      </c>
      <c r="AJ39" s="51" t="str">
        <f t="shared" si="21"/>
        <v>NA</v>
      </c>
      <c r="AK39" s="51" t="str" cm="1">
        <f t="array" ref="AK39">IFERROR(_xlfn.TEXTJOIN(", ", TRUE, _xlfn.UNIQUE(_xlfn._xlws.FILTER(K$2:K$100, (A$2:A$100 = AF39) * (D$2:D$100 = AG39) * (J$2:J$100 &lt;= 0.05)))), "")</f>
        <v/>
      </c>
      <c r="AL39" s="51" t="str" cm="1">
        <f t="array" ref="AL39">IFERROR(_xlfn.TEXTJOIN(", ", TRUE, _xlfn.UNIQUE(_xlfn._xlws.FILTER(L$2:L$100, (A$2:A$100 = AF39) * (D$2:D$100 = AG39) * (J$2:J$100 &lt;= 0.05)))), "")</f>
        <v/>
      </c>
      <c r="AM39" s="51" t="str">
        <f t="shared" si="22"/>
        <v>OR / RRR</v>
      </c>
      <c r="AP39" s="44" t="str">
        <f t="shared" si="25"/>
        <v>Including Price Negotiations (unadjusted)</v>
      </c>
      <c r="AQ39" s="46" t="str">
        <f t="shared" si="26"/>
        <v>ME</v>
      </c>
      <c r="AR39" s="194" t="str">
        <f t="shared" si="27"/>
        <v>NO DATA</v>
      </c>
      <c r="AS39" s="200">
        <f t="shared" si="28"/>
        <v>0</v>
      </c>
      <c r="AT39" s="46">
        <f t="shared" si="29"/>
        <v>0</v>
      </c>
      <c r="AU39" s="51" t="str" cm="1">
        <f t="array" ref="AU39">_xlfn.TEXTJOIN(", ", TRUE, _xlfn.UNIQUE(IF((AF$2:AF$100 = AP39) * (AM$2:AM$100 = AQ39), AK$2:AK$100, "")))</f>
        <v/>
      </c>
      <c r="AV39" s="51" t="str" cm="1">
        <f t="array" ref="AV39">_xlfn.TEXTJOIN(", ", TRUE, _xlfn.UNIQUE(IF((AF$2:AF$100 = AP39) * (AM$2:AM$100 = AQ39), AL$2:AL$100, "")))</f>
        <v/>
      </c>
      <c r="BA39" s="1" t="str" cm="1">
        <f t="array" ref="BA39">INDEX($AZ$1:$AZ$100,INT((ROW(A39)-1)/3)+1)</f>
        <v>ICER &lt; Threshold</v>
      </c>
      <c r="BB39" s="1" t="str" cm="1">
        <f t="array" ref="BB39">INDEX({"OR","RRR","ME"},MOD(ROW(AB39)-1,3)+1)</f>
        <v>ME</v>
      </c>
      <c r="BD39" s="1" t="str" cm="1">
        <f t="array" ref="BD39">INDEX($AZ$1:$AZ$100,INT((ROW(A39)-1)/2)+1)</f>
        <v>Intervention Expenditure</v>
      </c>
      <c r="BE39" s="6" t="str" cm="1">
        <f t="array" ref="BE39">INDEX({"OR / RRR";"ME"}, MOD(ROW(M39)-1, 2)+1)</f>
        <v>OR / RRR</v>
      </c>
    </row>
    <row r="40" spans="1:57" ht="60">
      <c r="A40" s="276" t="s">
        <v>1219</v>
      </c>
      <c r="B40" s="277" t="s">
        <v>885</v>
      </c>
      <c r="C40" s="283" t="s">
        <v>367</v>
      </c>
      <c r="D40" s="276" t="s">
        <v>879</v>
      </c>
      <c r="E40" s="278">
        <f>EXP(-0.00008)</f>
        <v>0.9999200031999147</v>
      </c>
      <c r="F40" s="278">
        <f>EXP(-0.00008-(1.96*0.00002))</f>
        <v>0.99988080710403771</v>
      </c>
      <c r="G40" s="278">
        <f>EXP(-0.00008+(1.96*0.00002))</f>
        <v>0.99995920083230871</v>
      </c>
      <c r="H40" s="278"/>
      <c r="I40" s="278"/>
      <c r="J40" s="283">
        <v>0.05</v>
      </c>
      <c r="K40" s="283" t="s">
        <v>319</v>
      </c>
      <c r="L40" s="284" t="s">
        <v>1134</v>
      </c>
      <c r="M40" s="78">
        <v>1</v>
      </c>
      <c r="N40" s="79">
        <f>AVERAGE('LCU to Int$ per year'!C18:C27)</f>
        <v>0.87257610000000008</v>
      </c>
      <c r="O40" s="80">
        <v>10000</v>
      </c>
      <c r="P40" s="81">
        <f>E40^(O40/(M40/N40))</f>
        <v>0.49754917651623493</v>
      </c>
      <c r="Q40" s="82">
        <f>F40^(O40/(M40/N40))</f>
        <v>0.35341555273278064</v>
      </c>
      <c r="R40" s="82">
        <f>G40^(O40/(M40/N40))</f>
        <v>0.7004648808963283</v>
      </c>
      <c r="V40" s="44" t="str">
        <f>BA39</f>
        <v>ICER &lt; Threshold</v>
      </c>
      <c r="W40" s="51" t="str">
        <f>BB39</f>
        <v>ME</v>
      </c>
      <c r="X40" s="51" t="e">
        <f>IF(Y40=Z40, IF(Y40=0, "NO DATA", ROUND(Y40, 2)), ROUND(Y40, 2) &amp; "-" &amp; ROUND(Z40, 2))</f>
        <v>#VALUE!</v>
      </c>
      <c r="Y40" s="51" t="str">
        <f>IF(_xlfn.MINIFS(E:E,A:A,V40,D:D,W40)=0,"NA",_xlfn.MINIFS(E:E,A:A,V40,D:D,W40))</f>
        <v>NA</v>
      </c>
      <c r="Z40" s="51" t="str">
        <f>IF(_xlfn.MAXIFS(E:E,A:A,V40,D:D,W40)=0,"NA",_xlfn.MAXIFS(E:E,A:A,V40,D:D,W40))</f>
        <v>NA</v>
      </c>
      <c r="AA40" s="51" t="str" cm="1">
        <f t="array" ref="AA40">IFERROR(_xlfn.TEXTJOIN(", ", TRUE, _xlfn.UNIQUE(_xlfn._xlws.FILTER(K$2:K$100, (A$2:A$100 = V40) * (D$2:D$100 = W40)))), "")</f>
        <v/>
      </c>
      <c r="AB40" s="51" t="str" cm="1">
        <f t="array" ref="AB40">_xlfn.TEXTJOIN(", ", TRUE, _xlfn.UNIQUE(IF((A$2:A$100 = V40) * (D$2:D$100 = W40), L$2:L$100, "")))</f>
        <v/>
      </c>
      <c r="AC40" s="51" t="str">
        <f t="shared" si="5"/>
        <v>ME</v>
      </c>
      <c r="AF40" s="44" t="str">
        <f t="shared" si="17"/>
        <v>ICER &lt; Threshold</v>
      </c>
      <c r="AG40" s="51" t="str">
        <f t="shared" si="18"/>
        <v>ME</v>
      </c>
      <c r="AH40" s="194" t="e">
        <f t="shared" si="19"/>
        <v>#VALUE!</v>
      </c>
      <c r="AI40" s="51" t="str">
        <f t="shared" si="20"/>
        <v>NA</v>
      </c>
      <c r="AJ40" s="51" t="str">
        <f t="shared" si="21"/>
        <v>NA</v>
      </c>
      <c r="AK40" s="51" t="str" cm="1">
        <f t="array" ref="AK40">IFERROR(_xlfn.TEXTJOIN(", ", TRUE, _xlfn.UNIQUE(_xlfn._xlws.FILTER(K$2:K$100, (A$2:A$100 = AF40) * (D$2:D$100 = AG40) * (J$2:J$100 &lt;= 0.05)))), "")</f>
        <v/>
      </c>
      <c r="AL40" s="51" t="str" cm="1">
        <f t="array" ref="AL40">IFERROR(_xlfn.TEXTJOIN(", ", TRUE, _xlfn.UNIQUE(_xlfn._xlws.FILTER(L$2:L$100, (A$2:A$100 = AF40) * (D$2:D$100 = AG40) * (J$2:J$100 &lt;= 0.05)))), "")</f>
        <v/>
      </c>
      <c r="AM40" s="51" t="str">
        <f t="shared" si="22"/>
        <v>ME</v>
      </c>
      <c r="AP40" s="44" t="str">
        <f t="shared" si="25"/>
        <v>Intervention Expenditure</v>
      </c>
      <c r="AQ40" s="46" t="str">
        <f t="shared" si="26"/>
        <v>OR / RRR</v>
      </c>
      <c r="AR40" s="194" t="str">
        <f t="shared" si="27"/>
        <v>NO DATA</v>
      </c>
      <c r="AS40" s="200">
        <f t="shared" si="28"/>
        <v>0</v>
      </c>
      <c r="AT40" s="46">
        <f t="shared" si="29"/>
        <v>0</v>
      </c>
      <c r="AU40" s="51" t="str" cm="1">
        <f t="array" ref="AU40">_xlfn.TEXTJOIN(", ", TRUE, _xlfn.UNIQUE(IF((AF$2:AF$100 = AP40) * (AM$2:AM$100 = AQ40), AK$2:AK$100, "")))</f>
        <v/>
      </c>
      <c r="AV40" s="51" t="str" cm="1">
        <f t="array" ref="AV40">_xlfn.TEXTJOIN(", ", TRUE, _xlfn.UNIQUE(IF((AF$2:AF$100 = AP40) * (AM$2:AM$100 = AQ40), AL$2:AL$100, "")))</f>
        <v/>
      </c>
      <c r="BA40" s="1" t="str" cm="1">
        <f t="array" ref="BA40">INDEX($AZ$1:$AZ$100,INT((ROW(A40)-1)/3)+1)</f>
        <v>ICER within a range</v>
      </c>
      <c r="BB40" s="1" t="str" cm="1">
        <f t="array" ref="BB40">INDEX({"OR","RRR","ME"},MOD(ROW(AB40)-1,3)+1)</f>
        <v>OR</v>
      </c>
      <c r="BD40" s="1" t="str" cm="1">
        <f t="array" ref="BD40">INDEX($AZ$1:$AZ$100,INT((ROW(A40)-1)/2)+1)</f>
        <v>Intervention Expenditure</v>
      </c>
      <c r="BE40" s="6" t="str" cm="1">
        <f t="array" ref="BE40">INDEX({"OR / RRR";"ME"}, MOD(ROW(M40)-1, 2)+1)</f>
        <v>ME</v>
      </c>
    </row>
    <row r="41" spans="1:57" ht="30">
      <c r="A41" s="169" t="s">
        <v>1221</v>
      </c>
      <c r="B41" s="169" t="s">
        <v>885</v>
      </c>
      <c r="C41" s="171" t="s">
        <v>1222</v>
      </c>
      <c r="D41" s="169" t="s">
        <v>879</v>
      </c>
      <c r="E41" s="180">
        <f>1/EXP(-2.387)</f>
        <v>10.880802522861678</v>
      </c>
      <c r="F41" s="180">
        <f>1/EXP(-2.387+1.96*0.475)</f>
        <v>4.2887700920237108</v>
      </c>
      <c r="G41" s="180">
        <f>1/EXP(-2.387-1.96*0.475)</f>
        <v>27.605085141238799</v>
      </c>
      <c r="H41" s="180"/>
      <c r="I41" s="180"/>
      <c r="J41" s="171">
        <v>0.01</v>
      </c>
      <c r="K41" s="171" t="s">
        <v>840</v>
      </c>
      <c r="L41" s="173" t="s">
        <v>1094</v>
      </c>
      <c r="M41" s="68"/>
      <c r="V41" s="44" t="str">
        <f t="shared" ref="V41:V47" si="34">BA40</f>
        <v>ICER within a range</v>
      </c>
      <c r="W41" s="51" t="str">
        <f t="shared" ref="W41:W67" si="35">BB40</f>
        <v>OR</v>
      </c>
      <c r="X41" s="51">
        <f t="shared" ref="X41:X67" si="36">IF(Y41=Z41, IF(Y41=0, "NO DATA", ROUND(Y41, 2)), ROUND(Y41, 2) &amp; "-" &amp; ROUND(Z41, 2))</f>
        <v>0.7</v>
      </c>
      <c r="Y41" s="51">
        <f t="shared" ref="Y41:Y67" si="37">IF(_xlfn.MINIFS(E:E,A:A,V41,D:D,W41)=0,"NA",_xlfn.MINIFS(E:E,A:A,V41,D:D,W41))</f>
        <v>0.69767632607103103</v>
      </c>
      <c r="Z41" s="51">
        <f t="shared" ref="Z41:Z67" si="38">IF(_xlfn.MAXIFS(E:E,A:A,V41,D:D,W41)=0,"NA",_xlfn.MAXIFS(E:E,A:A,V41,D:D,W41))</f>
        <v>0.69767632607103103</v>
      </c>
      <c r="AA41" s="51" t="str" cm="1">
        <f t="array" ref="AA41">IFERROR(_xlfn.TEXTJOIN(", ", TRUE, _xlfn.UNIQUE(_xlfn._xlws.FILTER(K$2:K$100, (A$2:A$100 = V41) * (D$2:D$100 = W41)))), "")</f>
        <v>UK</v>
      </c>
      <c r="AB41" s="51" t="str" cm="1">
        <f t="array" ref="AB41">_xlfn.TEXTJOIN(", ", TRUE, _xlfn.UNIQUE(IF((A$2:A$100 = V41) * (D$2:D$100 = W41), L$2:L$100, "")))</f>
        <v>(Schaefer et al., 2023)</v>
      </c>
      <c r="AC41" s="51" t="str">
        <f t="shared" si="5"/>
        <v>OR / RRR</v>
      </c>
      <c r="AF41" s="44" t="str">
        <f t="shared" si="17"/>
        <v>ICER within a range</v>
      </c>
      <c r="AG41" s="51" t="str">
        <f t="shared" si="18"/>
        <v>OR</v>
      </c>
      <c r="AH41" s="194" t="e">
        <f t="shared" si="19"/>
        <v>#VALUE!</v>
      </c>
      <c r="AI41" s="51" t="str">
        <f t="shared" si="20"/>
        <v>NA</v>
      </c>
      <c r="AJ41" s="51" t="str">
        <f t="shared" si="21"/>
        <v>NA</v>
      </c>
      <c r="AK41" s="51" t="str" cm="1">
        <f t="array" ref="AK41">IFERROR(_xlfn.TEXTJOIN(", ", TRUE, _xlfn.UNIQUE(_xlfn._xlws.FILTER(K$2:K$100, (A$2:A$100 = AF41) * (D$2:D$100 = AG41) * (J$2:J$100 &lt;= 0.05)))), "")</f>
        <v/>
      </c>
      <c r="AL41" s="51" t="str" cm="1">
        <f t="array" ref="AL41">IFERROR(_xlfn.TEXTJOIN(", ", TRUE, _xlfn.UNIQUE(_xlfn._xlws.FILTER(L$2:L$100, (A$2:A$100 = AF41) * (D$2:D$100 = AG41) * (J$2:J$100 &lt;= 0.05)))), "")</f>
        <v/>
      </c>
      <c r="AM41" s="51" t="str">
        <f t="shared" si="22"/>
        <v>OR / RRR</v>
      </c>
      <c r="AP41" s="44" t="str">
        <f t="shared" si="25"/>
        <v>Intervention Expenditure</v>
      </c>
      <c r="AQ41" s="46" t="str">
        <f t="shared" si="26"/>
        <v>ME</v>
      </c>
      <c r="AR41" s="194">
        <f t="shared" si="27"/>
        <v>-0.01</v>
      </c>
      <c r="AS41" s="200">
        <f t="shared" si="28"/>
        <v>-0.01</v>
      </c>
      <c r="AT41" s="46">
        <f t="shared" si="29"/>
        <v>-0.01</v>
      </c>
      <c r="AU41" s="51" t="str" cm="1">
        <f t="array" ref="AU41">_xlfn.TEXTJOIN(", ", TRUE, _xlfn.UNIQUE(IF((AF$2:AF$100 = AP41) * (AM$2:AM$100 = AQ41), AK$2:AK$100, "")))</f>
        <v>Australia</v>
      </c>
      <c r="AV41" s="51" t="str" cm="1">
        <f t="array" ref="AV41">_xlfn.TEXTJOIN(", ", TRUE, _xlfn.UNIQUE(IF((AF$2:AF$100 = AP41) * (AM$2:AM$100 = AQ41), AL$2:AL$100, "")))</f>
        <v>(A. H. Harris et al., 2008)</v>
      </c>
      <c r="BA41" s="1" t="str" cm="1">
        <f t="array" ref="BA41">INDEX($AZ$1:$AZ$100,INT((ROW(A41)-1)/3)+1)</f>
        <v>ICER within a range</v>
      </c>
      <c r="BB41" s="1" t="str" cm="1">
        <f t="array" ref="BB41">INDEX({"OR","RRR","ME"},MOD(ROW(AB41)-1,3)+1)</f>
        <v>RRR</v>
      </c>
      <c r="BD41" s="1" t="str" cm="1">
        <f t="array" ref="BD41">INDEX($AZ$1:$AZ$100,INT((ROW(A41)-1)/2)+1)</f>
        <v>Patient Population &gt;10k</v>
      </c>
      <c r="BE41" s="6" t="str" cm="1">
        <f t="array" ref="BE41">INDEX({"OR / RRR";"ME"}, MOD(ROW(M41)-1, 2)+1)</f>
        <v>OR / RRR</v>
      </c>
    </row>
    <row r="42" spans="1:57" ht="30">
      <c r="A42" s="169" t="s">
        <v>1223</v>
      </c>
      <c r="B42" s="169" t="s">
        <v>885</v>
      </c>
      <c r="C42" s="171" t="s">
        <v>1224</v>
      </c>
      <c r="D42" s="169" t="s">
        <v>879</v>
      </c>
      <c r="E42" s="180">
        <f>EXP(-0.36)</f>
        <v>0.69767632607103103</v>
      </c>
      <c r="F42" s="180">
        <f>1/EXP(-0.36+1.96*0.421)</f>
        <v>0.62803461161251106</v>
      </c>
      <c r="G42" s="180">
        <f>1/EXP(-0.36-1.96*0.421)</f>
        <v>3.2712101732244108</v>
      </c>
      <c r="H42" s="180"/>
      <c r="I42" s="180"/>
      <c r="J42" s="171" t="s">
        <v>886</v>
      </c>
      <c r="K42" s="171" t="s">
        <v>840</v>
      </c>
      <c r="L42" s="173" t="s">
        <v>1094</v>
      </c>
      <c r="M42" s="68"/>
      <c r="V42" s="44" t="str">
        <f t="shared" si="34"/>
        <v>ICER within a range</v>
      </c>
      <c r="W42" s="51" t="str">
        <f t="shared" si="35"/>
        <v>RRR</v>
      </c>
      <c r="X42" s="51" t="e">
        <f t="shared" si="36"/>
        <v>#VALUE!</v>
      </c>
      <c r="Y42" s="51" t="str">
        <f t="shared" si="37"/>
        <v>NA</v>
      </c>
      <c r="Z42" s="51" t="str">
        <f t="shared" si="38"/>
        <v>NA</v>
      </c>
      <c r="AA42" s="51" t="str" cm="1">
        <f t="array" ref="AA42">IFERROR(_xlfn.TEXTJOIN(", ", TRUE, _xlfn.UNIQUE(_xlfn._xlws.FILTER(K$2:K$100, (A$2:A$100 = V42) * (D$2:D$100 = W42)))), "")</f>
        <v/>
      </c>
      <c r="AB42" s="51" t="str" cm="1">
        <f t="array" ref="AB42">_xlfn.TEXTJOIN(", ", TRUE, _xlfn.UNIQUE(IF((A$2:A$100 = V42) * (D$2:D$100 = W42), L$2:L$100, "")))</f>
        <v/>
      </c>
      <c r="AC42" s="51" t="str">
        <f t="shared" si="5"/>
        <v>OR / RRR</v>
      </c>
      <c r="AF42" s="44" t="str">
        <f t="shared" si="17"/>
        <v>ICER within a range</v>
      </c>
      <c r="AG42" s="51" t="str">
        <f t="shared" si="18"/>
        <v>RRR</v>
      </c>
      <c r="AH42" s="194" t="e">
        <f t="shared" si="19"/>
        <v>#VALUE!</v>
      </c>
      <c r="AI42" s="51" t="str">
        <f t="shared" si="20"/>
        <v>NA</v>
      </c>
      <c r="AJ42" s="51" t="str">
        <f t="shared" si="21"/>
        <v>NA</v>
      </c>
      <c r="AK42" s="51" t="str" cm="1">
        <f t="array" ref="AK42">IFERROR(_xlfn.TEXTJOIN(", ", TRUE, _xlfn.UNIQUE(_xlfn._xlws.FILTER(K$2:K$100, (A$2:A$100 = AF42) * (D$2:D$100 = AG42) * (J$2:J$100 &lt;= 0.05)))), "")</f>
        <v/>
      </c>
      <c r="AL42" s="51" t="str" cm="1">
        <f t="array" ref="AL42">IFERROR(_xlfn.TEXTJOIN(", ", TRUE, _xlfn.UNIQUE(_xlfn._xlws.FILTER(L$2:L$100, (A$2:A$100 = AF42) * (D$2:D$100 = AG42) * (J$2:J$100 &lt;= 0.05)))), "")</f>
        <v/>
      </c>
      <c r="AM42" s="51" t="str">
        <f t="shared" si="22"/>
        <v>OR / RRR</v>
      </c>
      <c r="AP42" s="44" t="str">
        <f t="shared" si="25"/>
        <v>Patient Population &gt;10k</v>
      </c>
      <c r="AQ42" s="46" t="str">
        <f t="shared" si="26"/>
        <v>OR / RRR</v>
      </c>
      <c r="AR42" s="194" t="str">
        <f t="shared" si="27"/>
        <v>NO DATA</v>
      </c>
      <c r="AS42" s="200">
        <f t="shared" si="28"/>
        <v>0</v>
      </c>
      <c r="AT42" s="46">
        <f t="shared" si="29"/>
        <v>0</v>
      </c>
      <c r="AU42" s="51" t="str" cm="1">
        <f t="array" ref="AU42">_xlfn.TEXTJOIN(", ", TRUE, _xlfn.UNIQUE(IF((AF$2:AF$100 = AP42) * (AM$2:AM$100 = AQ42), AK$2:AK$100, "")))</f>
        <v/>
      </c>
      <c r="AV42" s="51" t="str" cm="1">
        <f t="array" ref="AV42">_xlfn.TEXTJOIN(", ", TRUE, _xlfn.UNIQUE(IF((AF$2:AF$100 = AP42) * (AM$2:AM$100 = AQ42), AL$2:AL$100, "")))</f>
        <v/>
      </c>
      <c r="BA42" s="1" t="str" cm="1">
        <f t="array" ref="BA42">INDEX($AZ$1:$AZ$100,INT((ROW(A42)-1)/3)+1)</f>
        <v>ICER within a range</v>
      </c>
      <c r="BB42" s="1" t="str" cm="1">
        <f t="array" ref="BB42">INDEX({"OR","RRR","ME"},MOD(ROW(AB42)-1,3)+1)</f>
        <v>ME</v>
      </c>
      <c r="BD42" s="1" t="str" cm="1">
        <f t="array" ref="BD42">INDEX($AZ$1:$AZ$100,INT((ROW(A42)-1)/2)+1)</f>
        <v>Patient Population &gt;10k</v>
      </c>
      <c r="BE42" s="6" t="str" cm="1">
        <f t="array" ref="BE42">INDEX({"OR / RRR";"ME"}, MOD(ROW(M42)-1, 2)+1)</f>
        <v>ME</v>
      </c>
    </row>
    <row r="43" spans="1:57" ht="30">
      <c r="A43" s="268" t="s">
        <v>1219</v>
      </c>
      <c r="B43" s="268" t="s">
        <v>1121</v>
      </c>
      <c r="C43" s="269" t="s">
        <v>1225</v>
      </c>
      <c r="D43" s="268" t="s">
        <v>879</v>
      </c>
      <c r="E43" s="270">
        <f>EXP(-0.098)</f>
        <v>0.90664890375392093</v>
      </c>
      <c r="F43" s="270">
        <f>EXP(-0.098-1.96*0.032)</f>
        <v>0.85153046626082518</v>
      </c>
      <c r="G43" s="270">
        <f>EXP(-0.098+1.96*0.032)</f>
        <v>0.96533508458921413</v>
      </c>
      <c r="H43" s="270">
        <f>EXP(-0.098-1.96*0.032)</f>
        <v>0.85153046626082518</v>
      </c>
      <c r="I43" s="270">
        <f>EXP(-0.098+1.96*0.032)</f>
        <v>0.96533508458921413</v>
      </c>
      <c r="J43" s="269">
        <v>0.05</v>
      </c>
      <c r="K43" s="269" t="s">
        <v>122</v>
      </c>
      <c r="L43" s="271" t="s">
        <v>1122</v>
      </c>
      <c r="M43" s="86">
        <v>100000</v>
      </c>
      <c r="N43" s="82">
        <f>AVERAGE('LCU to Int$ per year'!E22:E32)</f>
        <v>8.7513211818181809</v>
      </c>
      <c r="O43" s="80">
        <v>10000</v>
      </c>
      <c r="P43" s="81">
        <f>E43^(O43/(M43/N43))</f>
        <v>0.91781177493518451</v>
      </c>
      <c r="Q43" s="82">
        <f>F43^(O43/(M43/N43))</f>
        <v>0.86879226403792686</v>
      </c>
      <c r="R43" s="82">
        <f>G43^(O43/(M43/N43))</f>
        <v>0.96959709366484437</v>
      </c>
      <c r="V43" s="44" t="str">
        <f t="shared" si="34"/>
        <v>ICER within a range</v>
      </c>
      <c r="W43" s="51" t="str">
        <f t="shared" si="35"/>
        <v>ME</v>
      </c>
      <c r="X43" s="51" t="e">
        <f t="shared" si="36"/>
        <v>#VALUE!</v>
      </c>
      <c r="Y43" s="51" t="str">
        <f t="shared" si="37"/>
        <v>NA</v>
      </c>
      <c r="Z43" s="51" t="str">
        <f t="shared" si="38"/>
        <v>NA</v>
      </c>
      <c r="AA43" s="51" t="str" cm="1">
        <f t="array" ref="AA43">IFERROR(_xlfn.TEXTJOIN(", ", TRUE, _xlfn.UNIQUE(_xlfn._xlws.FILTER(K$2:K$100, (A$2:A$100 = V43) * (D$2:D$100 = W43)))), "")</f>
        <v/>
      </c>
      <c r="AB43" s="51" t="str" cm="1">
        <f t="array" ref="AB43">_xlfn.TEXTJOIN(", ", TRUE, _xlfn.UNIQUE(IF((A$2:A$100 = V43) * (D$2:D$100 = W43), L$2:L$100, "")))</f>
        <v/>
      </c>
      <c r="AC43" s="51" t="str">
        <f t="shared" si="5"/>
        <v>ME</v>
      </c>
      <c r="AF43" s="44" t="str">
        <f t="shared" si="17"/>
        <v>ICER within a range</v>
      </c>
      <c r="AG43" s="51" t="str">
        <f t="shared" si="18"/>
        <v>ME</v>
      </c>
      <c r="AH43" s="194" t="e">
        <f t="shared" si="19"/>
        <v>#VALUE!</v>
      </c>
      <c r="AI43" s="51" t="str">
        <f t="shared" si="20"/>
        <v>NA</v>
      </c>
      <c r="AJ43" s="51" t="str">
        <f t="shared" si="21"/>
        <v>NA</v>
      </c>
      <c r="AK43" s="51" t="str" cm="1">
        <f t="array" ref="AK43">IFERROR(_xlfn.TEXTJOIN(", ", TRUE, _xlfn.UNIQUE(_xlfn._xlws.FILTER(K$2:K$100, (A$2:A$100 = AF43) * (D$2:D$100 = AG43) * (J$2:J$100 &lt;= 0.05)))), "")</f>
        <v/>
      </c>
      <c r="AL43" s="51" t="str" cm="1">
        <f t="array" ref="AL43">IFERROR(_xlfn.TEXTJOIN(", ", TRUE, _xlfn.UNIQUE(_xlfn._xlws.FILTER(L$2:L$100, (A$2:A$100 = AF43) * (D$2:D$100 = AG43) * (J$2:J$100 &lt;= 0.05)))), "")</f>
        <v/>
      </c>
      <c r="AM43" s="51" t="str">
        <f t="shared" si="22"/>
        <v>ME</v>
      </c>
      <c r="AP43" s="44" t="str">
        <f t="shared" si="25"/>
        <v>Patient Population &gt;10k</v>
      </c>
      <c r="AQ43" s="46" t="str">
        <f t="shared" si="26"/>
        <v>ME</v>
      </c>
      <c r="AR43" s="194" t="str">
        <f t="shared" si="27"/>
        <v>NO DATA</v>
      </c>
      <c r="AS43" s="200">
        <f t="shared" si="28"/>
        <v>0</v>
      </c>
      <c r="AT43" s="46">
        <f t="shared" si="29"/>
        <v>0</v>
      </c>
      <c r="AU43" s="51" t="str" cm="1">
        <f t="array" ref="AU43">_xlfn.TEXTJOIN(", ", TRUE, _xlfn.UNIQUE(IF((AF$2:AF$100 = AP43) * (AM$2:AM$100 = AQ43), AK$2:AK$100, "")))</f>
        <v/>
      </c>
      <c r="AV43" s="51" t="str" cm="1">
        <f t="array" ref="AV43">_xlfn.TEXTJOIN(", ", TRUE, _xlfn.UNIQUE(IF((AF$2:AF$100 = AP43) * (AM$2:AM$100 = AQ43), AL$2:AL$100, "")))</f>
        <v/>
      </c>
      <c r="BA43" s="1" t="str" cm="1">
        <f t="array" ref="BA43">INDEX($AZ$1:$AZ$100,INT((ROW(A43)-1)/3)+1)</f>
        <v>ICER &gt; Threshold</v>
      </c>
      <c r="BB43" s="1" t="str" cm="1">
        <f t="array" ref="BB43">INDEX({"OR","RRR","ME"},MOD(ROW(AB43)-1,3)+1)</f>
        <v>OR</v>
      </c>
      <c r="BD43" s="1" t="str" cm="1">
        <f t="array" ref="BD43">INDEX($AZ$1:$AZ$100,INT((ROW(A43)-1)/2)+1)</f>
        <v>Risk Sharing Agreement</v>
      </c>
      <c r="BE43" s="6" t="str" cm="1">
        <f t="array" ref="BE43">INDEX({"OR / RRR";"ME"}, MOD(ROW(M43)-1, 2)+1)</f>
        <v>OR / RRR</v>
      </c>
    </row>
    <row r="44" spans="1:57" ht="45">
      <c r="A44" s="268" t="s">
        <v>1219</v>
      </c>
      <c r="B44" s="268" t="s">
        <v>878</v>
      </c>
      <c r="C44" s="269" t="s">
        <v>1226</v>
      </c>
      <c r="D44" s="268" t="s">
        <v>879</v>
      </c>
      <c r="E44" s="270">
        <v>0.67700000000000005</v>
      </c>
      <c r="F44" s="270">
        <v>0.59</v>
      </c>
      <c r="G44" s="270">
        <v>0.77800000000000002</v>
      </c>
      <c r="H44" s="270"/>
      <c r="I44" s="270"/>
      <c r="J44" s="269">
        <v>0.05</v>
      </c>
      <c r="K44" s="269" t="s">
        <v>840</v>
      </c>
      <c r="L44" s="271" t="s">
        <v>974</v>
      </c>
      <c r="M44" s="86">
        <v>10000</v>
      </c>
      <c r="N44" s="82">
        <f>AVERAGE('LCU to Int$ per year'!B11:B23)</f>
        <v>0.70244184615384608</v>
      </c>
      <c r="O44" s="80">
        <v>10000</v>
      </c>
      <c r="P44" s="81">
        <f>E44^(O44/(M44/N44))</f>
        <v>0.76032346121958216</v>
      </c>
      <c r="Q44" s="82">
        <f>F44^(O44/(M44/N44))</f>
        <v>0.69029839562948758</v>
      </c>
      <c r="R44" s="82">
        <f>G44^(O44/(M44/N44))</f>
        <v>0.83833868456148652</v>
      </c>
      <c r="V44" s="44" t="str">
        <f t="shared" si="34"/>
        <v>ICER &gt; Threshold</v>
      </c>
      <c r="W44" s="51" t="str">
        <f t="shared" si="35"/>
        <v>OR</v>
      </c>
      <c r="X44" s="51" t="str">
        <f t="shared" si="36"/>
        <v>0,28-0,47</v>
      </c>
      <c r="Y44" s="51">
        <f t="shared" si="37"/>
        <v>0.27775940212506323</v>
      </c>
      <c r="Z44" s="51">
        <f t="shared" si="38"/>
        <v>0.47</v>
      </c>
      <c r="AA44" s="51" t="str" cm="1">
        <f t="array" ref="AA44">IFERROR(_xlfn.TEXTJOIN(", ", TRUE, _xlfn.UNIQUE(_xlfn._xlws.FILTER(K$2:K$100, (A$2:A$100 = V44) * (D$2:D$100 = W44)))), "")</f>
        <v>Scotland, Australia</v>
      </c>
      <c r="AB44" s="51" t="str" cm="1">
        <f t="array" ref="AB44">_xlfn.TEXTJOIN(", ", TRUE, _xlfn.UNIQUE(IF((A$2:A$100 = V44) * (D$2:D$100 = W44), L$2:L$100, "")))</f>
        <v>(Charokopou et al., 2015), (Haque et al., 2023), (Ngo, 2014)</v>
      </c>
      <c r="AC44" s="51" t="str">
        <f t="shared" si="5"/>
        <v>OR / RRR</v>
      </c>
      <c r="AF44" s="44" t="str">
        <f t="shared" si="17"/>
        <v>ICER &gt; Threshold</v>
      </c>
      <c r="AG44" s="51" t="str">
        <f t="shared" si="18"/>
        <v>OR</v>
      </c>
      <c r="AH44" s="194" t="str">
        <f t="shared" si="19"/>
        <v>0,3-0,47</v>
      </c>
      <c r="AI44" s="51">
        <f t="shared" si="20"/>
        <v>0.29599999999999999</v>
      </c>
      <c r="AJ44" s="51">
        <f t="shared" si="21"/>
        <v>0.47</v>
      </c>
      <c r="AK44" s="51" t="str" cm="1">
        <f t="array" ref="AK44">IFERROR(_xlfn.TEXTJOIN(", ", TRUE, _xlfn.UNIQUE(_xlfn._xlws.FILTER(K$2:K$100, (A$2:A$100 = AF44) * (D$2:D$100 = AG44) * (J$2:J$100 &lt;= 0.05)))), "")</f>
        <v>Scotland, Australia</v>
      </c>
      <c r="AL44" s="51" t="str" cm="1">
        <f t="array" ref="AL44">IFERROR(_xlfn.TEXTJOIN(", ", TRUE, _xlfn.UNIQUE(_xlfn._xlws.FILTER(L$2:L$100, (A$2:A$100 = AF44) * (D$2:D$100 = AG44) * (J$2:J$100 &lt;= 0.05)))), "")</f>
        <v>(Charokopou et al., 2015), (Ngo, 2014)</v>
      </c>
      <c r="AM44" s="51" t="str">
        <f t="shared" si="22"/>
        <v>OR / RRR</v>
      </c>
      <c r="AP44" s="44" t="str">
        <f t="shared" si="25"/>
        <v>Risk Sharing Agreement</v>
      </c>
      <c r="AQ44" s="46" t="str">
        <f t="shared" si="26"/>
        <v>OR / RRR</v>
      </c>
      <c r="AR44" s="194">
        <f t="shared" si="27"/>
        <v>3.49</v>
      </c>
      <c r="AS44" s="200">
        <f t="shared" si="28"/>
        <v>3.49</v>
      </c>
      <c r="AT44" s="46">
        <f t="shared" si="29"/>
        <v>3.49</v>
      </c>
      <c r="AU44" s="51" t="str" cm="1">
        <f t="array" ref="AU44">_xlfn.TEXTJOIN(", ", TRUE, _xlfn.UNIQUE(IF((AF$2:AF$100 = AP44) * (AM$2:AM$100 = AQ44), AK$2:AK$100, "")))</f>
        <v>Hungary</v>
      </c>
      <c r="AV44" s="51" t="str" cm="1">
        <f t="array" ref="AV44">_xlfn.TEXTJOIN(", ", TRUE, _xlfn.UNIQUE(IF((AF$2:AF$100 = AP44) * (AM$2:AM$100 = AQ44), AL$2:AL$100, "")))</f>
        <v>(Merész &amp; Gaál, 2023)</v>
      </c>
      <c r="BA44" s="1" t="str" cm="1">
        <f t="array" ref="BA44">INDEX($AZ$1:$AZ$100,INT((ROW(A44)-1)/3)+1)</f>
        <v>ICER &gt; Threshold</v>
      </c>
      <c r="BB44" s="1" t="str" cm="1">
        <f t="array" ref="BB44">INDEX({"OR","RRR","ME"},MOD(ROW(AB44)-1,3)+1)</f>
        <v>RRR</v>
      </c>
      <c r="BD44" s="1" t="str" cm="1">
        <f t="array" ref="BD44">INDEX($AZ$1:$AZ$100,INT((ROW(A44)-1)/2)+1)</f>
        <v>Risk Sharing Agreement</v>
      </c>
      <c r="BE44" s="6" t="str" cm="1">
        <f t="array" ref="BE44">INDEX({"OR / RRR";"ME"}, MOD(ROW(M44)-1, 2)+1)</f>
        <v>ME</v>
      </c>
    </row>
    <row r="45" spans="1:57" ht="30">
      <c r="A45" s="169" t="s">
        <v>1221</v>
      </c>
      <c r="B45" s="169" t="s">
        <v>878</v>
      </c>
      <c r="C45" s="171" t="s">
        <v>1227</v>
      </c>
      <c r="D45" s="169" t="s">
        <v>879</v>
      </c>
      <c r="E45" s="180">
        <v>3.08</v>
      </c>
      <c r="F45" s="180">
        <v>1.64</v>
      </c>
      <c r="G45" s="180">
        <v>5.77</v>
      </c>
      <c r="H45" s="180"/>
      <c r="I45" s="180"/>
      <c r="J45" s="171">
        <v>1E-3</v>
      </c>
      <c r="K45" s="171" t="s">
        <v>548</v>
      </c>
      <c r="L45" s="173" t="s">
        <v>953</v>
      </c>
      <c r="M45" s="68"/>
      <c r="N45" s="6"/>
      <c r="O45" s="63"/>
      <c r="P45" s="60"/>
      <c r="Q45" s="6"/>
      <c r="R45" s="6"/>
      <c r="V45" s="44" t="str">
        <f t="shared" si="34"/>
        <v>ICER &gt; Threshold</v>
      </c>
      <c r="W45" s="51" t="str">
        <f t="shared" si="35"/>
        <v>RRR</v>
      </c>
      <c r="X45" s="51" t="e">
        <f t="shared" si="36"/>
        <v>#VALUE!</v>
      </c>
      <c r="Y45" s="51" t="str">
        <f t="shared" si="37"/>
        <v>NA</v>
      </c>
      <c r="Z45" s="51" t="str">
        <f t="shared" si="38"/>
        <v>NA</v>
      </c>
      <c r="AA45" s="51" t="str" cm="1">
        <f t="array" ref="AA45">IFERROR(_xlfn.TEXTJOIN(", ", TRUE, _xlfn.UNIQUE(_xlfn._xlws.FILTER(K$2:K$100, (A$2:A$100 = V45) * (D$2:D$100 = W45)))), "")</f>
        <v/>
      </c>
      <c r="AB45" s="51" t="str" cm="1">
        <f t="array" ref="AB45">_xlfn.TEXTJOIN(", ", TRUE, _xlfn.UNIQUE(IF((A$2:A$100 = V45) * (D$2:D$100 = W45), L$2:L$100, "")))</f>
        <v/>
      </c>
      <c r="AC45" s="51" t="str">
        <f t="shared" si="5"/>
        <v>OR / RRR</v>
      </c>
      <c r="AF45" s="44" t="str">
        <f t="shared" si="17"/>
        <v>ICER &gt; Threshold</v>
      </c>
      <c r="AG45" s="51" t="str">
        <f t="shared" si="18"/>
        <v>RRR</v>
      </c>
      <c r="AH45" s="194" t="e">
        <f t="shared" si="19"/>
        <v>#VALUE!</v>
      </c>
      <c r="AI45" s="51" t="str">
        <f t="shared" si="20"/>
        <v>NA</v>
      </c>
      <c r="AJ45" s="51" t="str">
        <f t="shared" si="21"/>
        <v>NA</v>
      </c>
      <c r="AK45" s="51" t="str" cm="1">
        <f t="array" ref="AK45">IFERROR(_xlfn.TEXTJOIN(", ", TRUE, _xlfn.UNIQUE(_xlfn._xlws.FILTER(K$2:K$100, (A$2:A$100 = AF45) * (D$2:D$100 = AG45) * (J$2:J$100 &lt;= 0.05)))), "")</f>
        <v/>
      </c>
      <c r="AL45" s="51" t="str" cm="1">
        <f t="array" ref="AL45">IFERROR(_xlfn.TEXTJOIN(", ", TRUE, _xlfn.UNIQUE(_xlfn._xlws.FILTER(L$2:L$100, (A$2:A$100 = AF45) * (D$2:D$100 = AG45) * (J$2:J$100 &lt;= 0.05)))), "")</f>
        <v/>
      </c>
      <c r="AM45" s="51" t="str">
        <f t="shared" si="22"/>
        <v>OR / RRR</v>
      </c>
      <c r="AP45" s="44" t="str">
        <f t="shared" si="25"/>
        <v>Risk Sharing Agreement</v>
      </c>
      <c r="AQ45" s="46" t="str">
        <f t="shared" si="26"/>
        <v>ME</v>
      </c>
      <c r="AR45" s="194" t="str">
        <f t="shared" si="27"/>
        <v>NO DATA</v>
      </c>
      <c r="AS45" s="200">
        <f t="shared" si="28"/>
        <v>0</v>
      </c>
      <c r="AT45" s="46">
        <f t="shared" si="29"/>
        <v>0</v>
      </c>
      <c r="AU45" s="51" t="str" cm="1">
        <f t="array" ref="AU45">_xlfn.TEXTJOIN(", ", TRUE, _xlfn.UNIQUE(IF((AF$2:AF$100 = AP45) * (AM$2:AM$100 = AQ45), AK$2:AK$100, "")))</f>
        <v/>
      </c>
      <c r="AV45" s="51" t="str" cm="1">
        <f t="array" ref="AV45">_xlfn.TEXTJOIN(", ", TRUE, _xlfn.UNIQUE(IF((AF$2:AF$100 = AP45) * (AM$2:AM$100 = AQ45), AL$2:AL$100, "")))</f>
        <v/>
      </c>
      <c r="BA45" s="1" t="str" cm="1">
        <f t="array" ref="BA45">INDEX($AZ$1:$AZ$100,INT((ROW(A45)-1)/3)+1)</f>
        <v>ICER &gt; Threshold</v>
      </c>
      <c r="BB45" s="1" t="str" cm="1">
        <f t="array" ref="BB45">INDEX({"OR","RRR","ME"},MOD(ROW(AB45)-1,3)+1)</f>
        <v>ME</v>
      </c>
      <c r="BD45" s="215"/>
      <c r="BE45" s="216"/>
    </row>
    <row r="46" spans="1:57" ht="60">
      <c r="A46" s="276" t="s">
        <v>1219</v>
      </c>
      <c r="B46" s="276" t="s">
        <v>969</v>
      </c>
      <c r="C46" s="277" t="s">
        <v>1228</v>
      </c>
      <c r="D46" s="276" t="s">
        <v>879</v>
      </c>
      <c r="E46" s="278">
        <f>EXP(-0.007)</f>
        <v>0.99302444293323511</v>
      </c>
      <c r="F46" s="278">
        <f>EXP(-0.007-1.96*0.002)</f>
        <v>0.98913940676274803</v>
      </c>
      <c r="G46" s="278">
        <f>EXP(-0.007+1.96*0.002)</f>
        <v>0.99692473833406203</v>
      </c>
      <c r="H46" s="278"/>
      <c r="I46" s="278"/>
      <c r="J46" s="277">
        <v>0.01</v>
      </c>
      <c r="K46" s="277" t="s">
        <v>122</v>
      </c>
      <c r="L46" s="279" t="s">
        <v>971</v>
      </c>
      <c r="M46" s="86">
        <v>1000</v>
      </c>
      <c r="N46" s="82">
        <f>AVERAGE('LCU to Int$ per year'!E17:E23)</f>
        <v>9.004543857142858</v>
      </c>
      <c r="O46" s="80">
        <v>10000</v>
      </c>
      <c r="P46" s="81">
        <f>E46^(O46/(M46/N46))</f>
        <v>0.53242242647065829</v>
      </c>
      <c r="Q46" s="82">
        <f>F46^(O46/(M46/N46))</f>
        <v>0.37407603907430448</v>
      </c>
      <c r="R46" s="82">
        <f>G46^(O46/(M46/N46))</f>
        <v>0.75779683967568012</v>
      </c>
      <c r="V46" s="44" t="str">
        <f t="shared" si="34"/>
        <v>ICER &gt; Threshold</v>
      </c>
      <c r="W46" s="51" t="str">
        <f t="shared" si="35"/>
        <v>ME</v>
      </c>
      <c r="X46" s="51" t="e">
        <f t="shared" si="36"/>
        <v>#VALUE!</v>
      </c>
      <c r="Y46" s="51" t="str">
        <f t="shared" si="37"/>
        <v>NA</v>
      </c>
      <c r="Z46" s="51" t="str">
        <f t="shared" si="38"/>
        <v>NA</v>
      </c>
      <c r="AA46" s="51" t="str" cm="1">
        <f t="array" ref="AA46">IFERROR(_xlfn.TEXTJOIN(", ", TRUE, _xlfn.UNIQUE(_xlfn._xlws.FILTER(K$2:K$100, (A$2:A$100 = V46) * (D$2:D$100 = W46)))), "")</f>
        <v/>
      </c>
      <c r="AB46" s="51" t="str" cm="1">
        <f t="array" ref="AB46">_xlfn.TEXTJOIN(", ", TRUE, _xlfn.UNIQUE(IF((A$2:A$100 = V46) * (D$2:D$100 = W46), L$2:L$100, "")))</f>
        <v/>
      </c>
      <c r="AC46" s="51" t="str">
        <f t="shared" si="5"/>
        <v>ME</v>
      </c>
      <c r="AF46" s="44" t="str">
        <f t="shared" si="17"/>
        <v>ICER &gt; Threshold</v>
      </c>
      <c r="AG46" s="51" t="str">
        <f t="shared" si="18"/>
        <v>ME</v>
      </c>
      <c r="AH46" s="194" t="e">
        <f t="shared" si="19"/>
        <v>#VALUE!</v>
      </c>
      <c r="AI46" s="51" t="str">
        <f t="shared" si="20"/>
        <v>NA</v>
      </c>
      <c r="AJ46" s="51" t="str">
        <f t="shared" si="21"/>
        <v>NA</v>
      </c>
      <c r="AK46" s="51" t="str" cm="1">
        <f t="array" ref="AK46">IFERROR(_xlfn.TEXTJOIN(", ", TRUE, _xlfn.UNIQUE(_xlfn._xlws.FILTER(K$2:K$100, (A$2:A$100 = AF46) * (D$2:D$100 = AG46) * (J$2:J$100 &lt;= 0.05)))), "")</f>
        <v/>
      </c>
      <c r="AL46" s="51" t="str" cm="1">
        <f t="array" ref="AL46">IFERROR(_xlfn.TEXTJOIN(", ", TRUE, _xlfn.UNIQUE(_xlfn._xlws.FILTER(L$2:L$100, (A$2:A$100 = AF46) * (D$2:D$100 = AG46) * (J$2:J$100 &lt;= 0.05)))), "")</f>
        <v/>
      </c>
      <c r="AM46" s="51" t="str">
        <f t="shared" si="22"/>
        <v>ME</v>
      </c>
      <c r="AP46" s="209"/>
      <c r="AQ46" s="210"/>
      <c r="AR46" s="211"/>
      <c r="AS46" s="212"/>
      <c r="AT46" s="210"/>
      <c r="AU46" s="213"/>
      <c r="AV46" s="213"/>
      <c r="BA46" s="1" t="str" cm="1">
        <f t="array" ref="BA46">INDEX($AZ$1:$AZ$100,INT((ROW(A46)-1)/3)+1)</f>
        <v>Cost-Effectiveness Assessment Acceptable</v>
      </c>
      <c r="BB46" s="1" t="str" cm="1">
        <f t="array" ref="BB46">INDEX({"OR","RRR","ME"},MOD(ROW(AB46)-1,3)+1)</f>
        <v>OR</v>
      </c>
      <c r="BD46" s="215"/>
      <c r="BE46" s="216"/>
    </row>
    <row r="47" spans="1:57" ht="60">
      <c r="A47" s="276" t="s">
        <v>1219</v>
      </c>
      <c r="B47" s="285" t="s">
        <v>897</v>
      </c>
      <c r="C47" s="277" t="s">
        <v>1229</v>
      </c>
      <c r="D47" s="276" t="s">
        <v>894</v>
      </c>
      <c r="E47" s="278">
        <v>-0.06</v>
      </c>
      <c r="F47" s="278">
        <v>-0.1</v>
      </c>
      <c r="G47" s="278">
        <v>-0.04</v>
      </c>
      <c r="H47" s="278"/>
      <c r="I47" s="278"/>
      <c r="J47" s="277">
        <v>1E-3</v>
      </c>
      <c r="K47" s="277" t="s">
        <v>365</v>
      </c>
      <c r="L47" s="279" t="s">
        <v>901</v>
      </c>
      <c r="M47" s="86">
        <v>1000</v>
      </c>
      <c r="N47" s="85">
        <f>AVERAGE('LCU to Int$ per year'!D6:D16)</f>
        <v>1.3195508181818183</v>
      </c>
      <c r="O47" s="80">
        <v>10000</v>
      </c>
      <c r="P47" s="81">
        <f>E47*(O47/(M47/N47))</f>
        <v>-0.79173049090909098</v>
      </c>
      <c r="Q47" s="82">
        <f>F47*(O47/(M47/N47))</f>
        <v>-1.3195508181818185</v>
      </c>
      <c r="R47" s="82">
        <f>G47*(O47/(M47/N47))</f>
        <v>-0.52782032727272732</v>
      </c>
      <c r="V47" s="44" t="str">
        <f t="shared" si="34"/>
        <v>Cost-Effectiveness Assessment Acceptable</v>
      </c>
      <c r="W47" s="51" t="str">
        <f t="shared" si="35"/>
        <v>OR</v>
      </c>
      <c r="X47" s="51" t="str">
        <f t="shared" si="36"/>
        <v>2,58-6</v>
      </c>
      <c r="Y47" s="51">
        <f t="shared" si="37"/>
        <v>2.5792999999999999</v>
      </c>
      <c r="Z47" s="51">
        <f t="shared" si="38"/>
        <v>6.0019999999999998</v>
      </c>
      <c r="AA47" s="51" t="str" cm="1">
        <f t="array" ref="AA47">IFERROR(_xlfn.TEXTJOIN(", ", TRUE, _xlfn.UNIQUE(_xlfn._xlws.FILTER(K$2:K$100, (A$2:A$100 = V47) * (D$2:D$100 = W47)))), "")</f>
        <v>Frannce (ASMR), UK</v>
      </c>
      <c r="AB47" s="51" t="str" cm="1">
        <f t="array" ref="AB47">_xlfn.TEXTJOIN(", ", TRUE, _xlfn.UNIQUE(IF((A$2:A$100 = V47) * (D$2:D$100 = W47), L$2:L$100, "")))</f>
        <v>(Kergall et al., 2021), (Mauskopf et al., 2013)</v>
      </c>
      <c r="AC47" s="51" t="str">
        <f t="shared" si="5"/>
        <v>OR / RRR</v>
      </c>
      <c r="AF47" s="44" t="str">
        <f t="shared" si="17"/>
        <v>Cost-Effectiveness Assessment Acceptable</v>
      </c>
      <c r="AG47" s="51" t="str">
        <f t="shared" si="18"/>
        <v>OR</v>
      </c>
      <c r="AH47" s="194" t="str">
        <f t="shared" si="19"/>
        <v>2,58-6</v>
      </c>
      <c r="AI47" s="51">
        <f t="shared" si="20"/>
        <v>2.5792999999999999</v>
      </c>
      <c r="AJ47" s="51">
        <f t="shared" si="21"/>
        <v>6.0019999999999998</v>
      </c>
      <c r="AK47" s="51" t="str" cm="1">
        <f t="array" ref="AK47">IFERROR(_xlfn.TEXTJOIN(", ", TRUE, _xlfn.UNIQUE(_xlfn._xlws.FILTER(K$2:K$100, (A$2:A$100 = AF47) * (D$2:D$100 = AG47) * (J$2:J$100 &lt;= 0.05)))), "")</f>
        <v>Frannce (ASMR), UK</v>
      </c>
      <c r="AL47" s="51" t="str" cm="1">
        <f t="array" ref="AL47">IFERROR(_xlfn.TEXTJOIN(", ", TRUE, _xlfn.UNIQUE(_xlfn._xlws.FILTER(L$2:L$100, (A$2:A$100 = AF47) * (D$2:D$100 = AG47) * (J$2:J$100 &lt;= 0.05)))), "")</f>
        <v>(Kergall et al., 2021), (Mauskopf et al., 2013)</v>
      </c>
      <c r="AM47" s="51" t="str">
        <f t="shared" si="22"/>
        <v>OR / RRR</v>
      </c>
      <c r="AP47" s="209"/>
      <c r="AQ47" s="210"/>
      <c r="AR47" s="211"/>
      <c r="AS47" s="212"/>
      <c r="AT47" s="210"/>
      <c r="AU47" s="213"/>
      <c r="AV47" s="213"/>
      <c r="BA47" s="1" t="str" cm="1">
        <f t="array" ref="BA47">INDEX($AZ$1:$AZ$100,INT((ROW(A47)-1)/3)+1)</f>
        <v>Cost-Effectiveness Assessment Acceptable</v>
      </c>
      <c r="BB47" s="1" t="str" cm="1">
        <f t="array" ref="BB47">INDEX({"OR","RRR","ME"},MOD(ROW(AB47)-1,3)+1)</f>
        <v>RRR</v>
      </c>
      <c r="BD47" s="215"/>
      <c r="BE47" s="216"/>
    </row>
    <row r="48" spans="1:57" ht="60">
      <c r="A48" s="276" t="s">
        <v>1219</v>
      </c>
      <c r="B48" s="276" t="s">
        <v>907</v>
      </c>
      <c r="C48" s="277" t="s">
        <v>1228</v>
      </c>
      <c r="D48" s="276" t="s">
        <v>879</v>
      </c>
      <c r="E48" s="278">
        <v>0.64</v>
      </c>
      <c r="F48" s="278">
        <v>0.52</v>
      </c>
      <c r="G48" s="278">
        <v>0.78</v>
      </c>
      <c r="H48" s="278"/>
      <c r="I48" s="278"/>
      <c r="J48" s="277">
        <v>0.01</v>
      </c>
      <c r="K48" s="277" t="s">
        <v>365</v>
      </c>
      <c r="L48" s="279" t="s">
        <v>909</v>
      </c>
      <c r="M48" s="86">
        <v>1000</v>
      </c>
      <c r="N48" s="82">
        <f>AVERAGE('LCU to Int$ per year'!D6:D21)</f>
        <v>1.3533879375</v>
      </c>
      <c r="O48" s="80">
        <v>10000</v>
      </c>
      <c r="P48" s="81">
        <f>E48^(O48/(M48/N48))</f>
        <v>2.3815688838167565E-3</v>
      </c>
      <c r="Q48" s="82">
        <f>F48^(O48/(M48/N48))</f>
        <v>1.4335852035122831E-4</v>
      </c>
      <c r="R48" s="82">
        <f>G48^(O48/(M48/N48))</f>
        <v>3.4643468648915557E-2</v>
      </c>
      <c r="V48" s="44" t="str">
        <f>BA47</f>
        <v>Cost-Effectiveness Assessment Acceptable</v>
      </c>
      <c r="W48" s="51" t="str">
        <f t="shared" si="35"/>
        <v>RRR</v>
      </c>
      <c r="X48" s="51" t="e">
        <f t="shared" si="36"/>
        <v>#VALUE!</v>
      </c>
      <c r="Y48" s="51" t="str">
        <f t="shared" si="37"/>
        <v>NA</v>
      </c>
      <c r="Z48" s="51" t="str">
        <f t="shared" si="38"/>
        <v>NA</v>
      </c>
      <c r="AA48" s="51" t="str" cm="1">
        <f t="array" ref="AA48">IFERROR(_xlfn.TEXTJOIN(", ", TRUE, _xlfn.UNIQUE(_xlfn._xlws.FILTER(K$2:K$100, (A$2:A$100 = V48) * (D$2:D$100 = W48)))), "")</f>
        <v/>
      </c>
      <c r="AB48" s="51" t="str" cm="1">
        <f t="array" ref="AB48">_xlfn.TEXTJOIN(", ", TRUE, _xlfn.UNIQUE(IF((A$2:A$100 = V48) * (D$2:D$100 = W48), L$2:L$100, "")))</f>
        <v/>
      </c>
      <c r="AC48" s="51" t="str">
        <f t="shared" si="5"/>
        <v>OR / RRR</v>
      </c>
      <c r="AF48" s="44" t="str">
        <f t="shared" si="17"/>
        <v>Cost-Effectiveness Assessment Acceptable</v>
      </c>
      <c r="AG48" s="51" t="str">
        <f t="shared" si="18"/>
        <v>RRR</v>
      </c>
      <c r="AH48" s="194" t="e">
        <f t="shared" si="19"/>
        <v>#VALUE!</v>
      </c>
      <c r="AI48" s="51" t="str">
        <f t="shared" si="20"/>
        <v>NA</v>
      </c>
      <c r="AJ48" s="51" t="str">
        <f t="shared" si="21"/>
        <v>NA</v>
      </c>
      <c r="AK48" s="51" t="str" cm="1">
        <f t="array" ref="AK48">IFERROR(_xlfn.TEXTJOIN(", ", TRUE, _xlfn.UNIQUE(_xlfn._xlws.FILTER(K$2:K$100, (A$2:A$100 = AF48) * (D$2:D$100 = AG48) * (J$2:J$100 &lt;= 0.05)))), "")</f>
        <v/>
      </c>
      <c r="AL48" s="51" t="str" cm="1">
        <f t="array" ref="AL48">IFERROR(_xlfn.TEXTJOIN(", ", TRUE, _xlfn.UNIQUE(_xlfn._xlws.FILTER(L$2:L$100, (A$2:A$100 = AF48) * (D$2:D$100 = AG48) * (J$2:J$100 &lt;= 0.05)))), "")</f>
        <v/>
      </c>
      <c r="AM48" s="51" t="str">
        <f t="shared" si="22"/>
        <v>OR / RRR</v>
      </c>
      <c r="AP48" s="209"/>
      <c r="AQ48" s="210"/>
      <c r="AR48" s="211"/>
      <c r="AS48" s="212"/>
      <c r="AT48" s="210"/>
      <c r="AU48" s="213"/>
      <c r="AV48" s="213"/>
      <c r="BA48" s="1" t="str" cm="1">
        <f t="array" ref="BA48">INDEX($AZ$1:$AZ$100,INT((ROW(A48)-1)/3)+1)</f>
        <v>Cost-Effectiveness Assessment Acceptable</v>
      </c>
      <c r="BB48" s="1" t="str" cm="1">
        <f t="array" ref="BB48">INDEX({"OR","RRR","ME"},MOD(ROW(AB48)-1,3)+1)</f>
        <v>ME</v>
      </c>
      <c r="BD48" s="215"/>
      <c r="BE48" s="216"/>
    </row>
    <row r="49" spans="1:57" ht="60">
      <c r="A49" s="169" t="s">
        <v>1230</v>
      </c>
      <c r="B49" s="169" t="s">
        <v>878</v>
      </c>
      <c r="C49" s="171" t="s">
        <v>1231</v>
      </c>
      <c r="D49" s="169" t="s">
        <v>879</v>
      </c>
      <c r="E49" s="180">
        <v>0.47</v>
      </c>
      <c r="F49" s="180">
        <v>0.24</v>
      </c>
      <c r="G49" s="180">
        <v>0.91</v>
      </c>
      <c r="H49" s="180"/>
      <c r="I49" s="180"/>
      <c r="J49" s="171">
        <v>1E-3</v>
      </c>
      <c r="K49" s="171" t="s">
        <v>548</v>
      </c>
      <c r="L49" s="173" t="s">
        <v>953</v>
      </c>
      <c r="M49" s="68"/>
      <c r="V49" s="44" t="str">
        <f t="shared" ref="V49:V57" si="39">BA48</f>
        <v>Cost-Effectiveness Assessment Acceptable</v>
      </c>
      <c r="W49" s="51" t="str">
        <f t="shared" si="35"/>
        <v>ME</v>
      </c>
      <c r="X49" s="51" t="e">
        <f t="shared" si="36"/>
        <v>#VALUE!</v>
      </c>
      <c r="Y49" s="51" t="str">
        <f t="shared" si="37"/>
        <v>NA</v>
      </c>
      <c r="Z49" s="51" t="str">
        <f t="shared" si="38"/>
        <v>NA</v>
      </c>
      <c r="AA49" s="51" t="str" cm="1">
        <f t="array" ref="AA49">IFERROR(_xlfn.TEXTJOIN(", ", TRUE, _xlfn.UNIQUE(_xlfn._xlws.FILTER(K$2:K$100, (A$2:A$100 = V49) * (D$2:D$100 = W49)))), "")</f>
        <v/>
      </c>
      <c r="AB49" s="51" t="str" cm="1">
        <f t="array" ref="AB49">_xlfn.TEXTJOIN(", ", TRUE, _xlfn.UNIQUE(IF((A$2:A$100 = V49) * (D$2:D$100 = W49), L$2:L$100, "")))</f>
        <v/>
      </c>
      <c r="AC49" s="51" t="str">
        <f t="shared" si="5"/>
        <v>ME</v>
      </c>
      <c r="AF49" s="44" t="str">
        <f t="shared" si="17"/>
        <v>Cost-Effectiveness Assessment Acceptable</v>
      </c>
      <c r="AG49" s="51" t="str">
        <f t="shared" si="18"/>
        <v>ME</v>
      </c>
      <c r="AH49" s="194" t="e">
        <f t="shared" si="19"/>
        <v>#VALUE!</v>
      </c>
      <c r="AI49" s="51" t="str">
        <f t="shared" si="20"/>
        <v>NA</v>
      </c>
      <c r="AJ49" s="51" t="str">
        <f t="shared" si="21"/>
        <v>NA</v>
      </c>
      <c r="AK49" s="51" t="str" cm="1">
        <f t="array" ref="AK49">IFERROR(_xlfn.TEXTJOIN(", ", TRUE, _xlfn.UNIQUE(_xlfn._xlws.FILTER(K$2:K$100, (A$2:A$100 = AF49) * (D$2:D$100 = AG49) * (J$2:J$100 &lt;= 0.05)))), "")</f>
        <v/>
      </c>
      <c r="AL49" s="51" t="str" cm="1">
        <f t="array" ref="AL49">IFERROR(_xlfn.TEXTJOIN(", ", TRUE, _xlfn.UNIQUE(_xlfn._xlws.FILTER(L$2:L$100, (A$2:A$100 = AF49) * (D$2:D$100 = AG49) * (J$2:J$100 &lt;= 0.05)))), "")</f>
        <v/>
      </c>
      <c r="AM49" s="51" t="str">
        <f t="shared" si="22"/>
        <v>ME</v>
      </c>
      <c r="AP49" s="209"/>
      <c r="AQ49" s="210"/>
      <c r="AR49" s="211"/>
      <c r="AS49" s="212"/>
      <c r="AT49" s="210"/>
      <c r="AU49" s="213"/>
      <c r="AV49" s="213"/>
      <c r="BA49" s="1" t="str" cm="1">
        <f t="array" ref="BA49">INDEX($AZ$1:$AZ$100,INT((ROW(A49)-1)/3)+1)</f>
        <v>Including Cost-effectiveness assessment (unadjusted)</v>
      </c>
      <c r="BB49" s="1" t="str" cm="1">
        <f t="array" ref="BB49">INDEX({"OR","RRR","ME"},MOD(ROW(AB49)-1,3)+1)</f>
        <v>OR</v>
      </c>
      <c r="BD49" s="215"/>
      <c r="BE49" s="216"/>
    </row>
    <row r="50" spans="1:57" ht="60">
      <c r="A50" s="169" t="s">
        <v>1230</v>
      </c>
      <c r="B50" s="187" t="s">
        <v>878</v>
      </c>
      <c r="C50" s="176" t="s">
        <v>1232</v>
      </c>
      <c r="D50" s="169" t="s">
        <v>879</v>
      </c>
      <c r="E50" s="180">
        <f>EXP(-1.281)</f>
        <v>0.27775940212506323</v>
      </c>
      <c r="F50" s="180">
        <f>EXP(-4.695)</f>
        <v>9.1408673678900973E-3</v>
      </c>
      <c r="G50" s="180">
        <f>EXP(2.133)</f>
        <v>8.4401493166704196</v>
      </c>
      <c r="H50" s="180"/>
      <c r="I50" s="180"/>
      <c r="J50" s="176">
        <v>0.46200000000000002</v>
      </c>
      <c r="K50" s="176" t="s">
        <v>365</v>
      </c>
      <c r="L50" s="176" t="s">
        <v>895</v>
      </c>
      <c r="M50" s="69"/>
      <c r="V50" s="44" t="str">
        <f t="shared" si="39"/>
        <v>Including Cost-effectiveness assessment (unadjusted)</v>
      </c>
      <c r="W50" s="51" t="str">
        <f t="shared" si="35"/>
        <v>OR</v>
      </c>
      <c r="X50" s="51" t="e">
        <f t="shared" si="36"/>
        <v>#VALUE!</v>
      </c>
      <c r="Y50" s="51" t="str">
        <f t="shared" si="37"/>
        <v>NA</v>
      </c>
      <c r="Z50" s="51" t="str">
        <f t="shared" si="38"/>
        <v>NA</v>
      </c>
      <c r="AA50" s="51" t="str" cm="1">
        <f t="array" ref="AA50">IFERROR(_xlfn.TEXTJOIN(", ", TRUE, _xlfn.UNIQUE(_xlfn._xlws.FILTER(K$2:K$100, (A$2:A$100 = V50) * (D$2:D$100 = W50)))), "")</f>
        <v/>
      </c>
      <c r="AB50" s="51" t="str" cm="1">
        <f t="array" ref="AB50">_xlfn.TEXTJOIN(", ", TRUE, _xlfn.UNIQUE(IF((A$2:A$100 = V50) * (D$2:D$100 = W50), L$2:L$100, "")))</f>
        <v/>
      </c>
      <c r="AC50" s="51" t="str">
        <f t="shared" si="5"/>
        <v>OR / RRR</v>
      </c>
      <c r="AF50" s="44" t="str">
        <f t="shared" si="17"/>
        <v>Including Cost-effectiveness assessment (unadjusted)</v>
      </c>
      <c r="AG50" s="51" t="str">
        <f t="shared" si="18"/>
        <v>OR</v>
      </c>
      <c r="AH50" s="194" t="e">
        <f t="shared" si="19"/>
        <v>#VALUE!</v>
      </c>
      <c r="AI50" s="51" t="str">
        <f t="shared" si="20"/>
        <v>NA</v>
      </c>
      <c r="AJ50" s="51" t="str">
        <f t="shared" si="21"/>
        <v>NA</v>
      </c>
      <c r="AK50" s="51" t="str" cm="1">
        <f t="array" ref="AK50">IFERROR(_xlfn.TEXTJOIN(", ", TRUE, _xlfn.UNIQUE(_xlfn._xlws.FILTER(K$2:K$100, (A$2:A$100 = AF50) * (D$2:D$100 = AG50) * (J$2:J$100 &lt;= 0.05)))), "")</f>
        <v/>
      </c>
      <c r="AL50" s="51" t="str" cm="1">
        <f t="array" ref="AL50">IFERROR(_xlfn.TEXTJOIN(", ", TRUE, _xlfn.UNIQUE(_xlfn._xlws.FILTER(L$2:L$100, (A$2:A$100 = AF50) * (D$2:D$100 = AG50) * (J$2:J$100 &lt;= 0.05)))), "")</f>
        <v/>
      </c>
      <c r="AM50" s="51" t="str">
        <f t="shared" si="22"/>
        <v>OR / RRR</v>
      </c>
      <c r="AP50" s="209"/>
      <c r="AQ50" s="210"/>
      <c r="AR50" s="211"/>
      <c r="AS50" s="212"/>
      <c r="AT50" s="210"/>
      <c r="AU50" s="213"/>
      <c r="AV50" s="213"/>
      <c r="BA50" s="1" t="str" cm="1">
        <f t="array" ref="BA50">INDEX($AZ$1:$AZ$100,INT((ROW(A50)-1)/3)+1)</f>
        <v>Including Cost-effectiveness assessment (unadjusted)</v>
      </c>
      <c r="BB50" s="1" t="str" cm="1">
        <f t="array" ref="BB50">INDEX({"OR","RRR","ME"},MOD(ROW(AB50)-1,3)+1)</f>
        <v>RRR</v>
      </c>
      <c r="BD50" s="215"/>
      <c r="BE50" s="216"/>
    </row>
    <row r="51" spans="1:57" ht="60">
      <c r="A51" s="179" t="s">
        <v>1230</v>
      </c>
      <c r="B51" s="187" t="s">
        <v>878</v>
      </c>
      <c r="C51" s="183" t="s">
        <v>1232</v>
      </c>
      <c r="D51" s="184" t="s">
        <v>879</v>
      </c>
      <c r="E51" s="185">
        <v>0.29599999999999999</v>
      </c>
      <c r="F51" s="185">
        <v>0.09</v>
      </c>
      <c r="G51" s="185">
        <v>0.97599999999999998</v>
      </c>
      <c r="H51" s="185"/>
      <c r="I51" s="185"/>
      <c r="J51" s="183">
        <v>0.05</v>
      </c>
      <c r="K51" s="183" t="s">
        <v>365</v>
      </c>
      <c r="L51" s="183" t="s">
        <v>1233</v>
      </c>
      <c r="M51" s="69"/>
      <c r="V51" s="44" t="str">
        <f t="shared" si="39"/>
        <v>Including Cost-effectiveness assessment (unadjusted)</v>
      </c>
      <c r="W51" s="51" t="str">
        <f t="shared" si="35"/>
        <v>RRR</v>
      </c>
      <c r="X51" s="51" t="e">
        <f t="shared" si="36"/>
        <v>#VALUE!</v>
      </c>
      <c r="Y51" s="51" t="str">
        <f t="shared" si="37"/>
        <v>NA</v>
      </c>
      <c r="Z51" s="51" t="str">
        <f t="shared" si="38"/>
        <v>NA</v>
      </c>
      <c r="AA51" s="51" t="str" cm="1">
        <f t="array" ref="AA51">IFERROR(_xlfn.TEXTJOIN(", ", TRUE, _xlfn.UNIQUE(_xlfn._xlws.FILTER(K$2:K$100, (A$2:A$100 = V51) * (D$2:D$100 = W51)))), "")</f>
        <v/>
      </c>
      <c r="AB51" s="51" t="str" cm="1">
        <f t="array" ref="AB51">_xlfn.TEXTJOIN(", ", TRUE, _xlfn.UNIQUE(IF((A$2:A$100 = V51) * (D$2:D$100 = W51), L$2:L$100, "")))</f>
        <v/>
      </c>
      <c r="AC51" s="51" t="str">
        <f t="shared" si="5"/>
        <v>OR / RRR</v>
      </c>
      <c r="AF51" s="44" t="str">
        <f t="shared" si="17"/>
        <v>Including Cost-effectiveness assessment (unadjusted)</v>
      </c>
      <c r="AG51" s="51" t="str">
        <f t="shared" si="18"/>
        <v>RRR</v>
      </c>
      <c r="AH51" s="194" t="e">
        <f t="shared" si="19"/>
        <v>#VALUE!</v>
      </c>
      <c r="AI51" s="51" t="str">
        <f t="shared" si="20"/>
        <v>NA</v>
      </c>
      <c r="AJ51" s="51" t="str">
        <f t="shared" si="21"/>
        <v>NA</v>
      </c>
      <c r="AK51" s="51" t="str" cm="1">
        <f t="array" ref="AK51">IFERROR(_xlfn.TEXTJOIN(", ", TRUE, _xlfn.UNIQUE(_xlfn._xlws.FILTER(K$2:K$100, (A$2:A$100 = AF51) * (D$2:D$100 = AG51) * (J$2:J$100 &lt;= 0.05)))), "")</f>
        <v/>
      </c>
      <c r="AL51" s="51" t="str" cm="1">
        <f t="array" ref="AL51">IFERROR(_xlfn.TEXTJOIN(", ", TRUE, _xlfn.UNIQUE(_xlfn._xlws.FILTER(L$2:L$100, (A$2:A$100 = AF51) * (D$2:D$100 = AG51) * (J$2:J$100 &lt;= 0.05)))), "")</f>
        <v/>
      </c>
      <c r="AM51" s="51" t="str">
        <f t="shared" si="22"/>
        <v>OR / RRR</v>
      </c>
      <c r="AP51" s="209"/>
      <c r="AQ51" s="210"/>
      <c r="AR51" s="211"/>
      <c r="AS51" s="212"/>
      <c r="AT51" s="210"/>
      <c r="AU51" s="213"/>
      <c r="AV51" s="213"/>
      <c r="BA51" s="1" t="str" cm="1">
        <f t="array" ref="BA51">INDEX($AZ$1:$AZ$100,INT((ROW(A51)-1)/3)+1)</f>
        <v>Including Cost-effectiveness assessment (unadjusted)</v>
      </c>
      <c r="BB51" s="1" t="str" cm="1">
        <f t="array" ref="BB51">INDEX({"OR","RRR","ME"},MOD(ROW(AB51)-1,3)+1)</f>
        <v>ME</v>
      </c>
      <c r="BD51" s="215"/>
      <c r="BE51" s="216"/>
    </row>
    <row r="52" spans="1:57" ht="60">
      <c r="A52" s="181" t="s">
        <v>1234</v>
      </c>
      <c r="B52" s="187" t="s">
        <v>966</v>
      </c>
      <c r="C52" s="171" t="s">
        <v>1235</v>
      </c>
      <c r="D52" s="169" t="s">
        <v>879</v>
      </c>
      <c r="E52" s="180">
        <v>2.5792999999999999</v>
      </c>
      <c r="F52" s="180">
        <v>1.2170000000000001</v>
      </c>
      <c r="G52" s="180">
        <v>5.4667000000000003</v>
      </c>
      <c r="H52" s="180"/>
      <c r="I52" s="180"/>
      <c r="J52" s="171">
        <v>0.01</v>
      </c>
      <c r="K52" s="171" t="s">
        <v>1236</v>
      </c>
      <c r="L52" s="173" t="s">
        <v>968</v>
      </c>
      <c r="M52" s="68"/>
      <c r="V52" s="44" t="str">
        <f t="shared" si="39"/>
        <v>Including Cost-effectiveness assessment (unadjusted)</v>
      </c>
      <c r="W52" s="51" t="str">
        <f t="shared" si="35"/>
        <v>ME</v>
      </c>
      <c r="X52" s="51" t="e">
        <f t="shared" si="36"/>
        <v>#VALUE!</v>
      </c>
      <c r="Y52" s="51" t="str">
        <f t="shared" si="37"/>
        <v>NA</v>
      </c>
      <c r="Z52" s="51" t="str">
        <f t="shared" si="38"/>
        <v>NA</v>
      </c>
      <c r="AA52" s="51" t="str" cm="1">
        <f t="array" ref="AA52">IFERROR(_xlfn.TEXTJOIN(", ", TRUE, _xlfn.UNIQUE(_xlfn._xlws.FILTER(K$2:K$100, (A$2:A$100 = V52) * (D$2:D$100 = W52)))), "")</f>
        <v/>
      </c>
      <c r="AB52" s="51" t="str" cm="1">
        <f t="array" ref="AB52">_xlfn.TEXTJOIN(", ", TRUE, _xlfn.UNIQUE(IF((A$2:A$100 = V52) * (D$2:D$100 = W52), L$2:L$100, "")))</f>
        <v/>
      </c>
      <c r="AC52" s="51" t="str">
        <f t="shared" si="5"/>
        <v>ME</v>
      </c>
      <c r="AF52" s="44" t="str">
        <f t="shared" si="17"/>
        <v>Including Cost-effectiveness assessment (unadjusted)</v>
      </c>
      <c r="AG52" s="51" t="str">
        <f t="shared" si="18"/>
        <v>ME</v>
      </c>
      <c r="AH52" s="194" t="e">
        <f t="shared" si="19"/>
        <v>#VALUE!</v>
      </c>
      <c r="AI52" s="51" t="str">
        <f t="shared" si="20"/>
        <v>NA</v>
      </c>
      <c r="AJ52" s="51" t="str">
        <f t="shared" si="21"/>
        <v>NA</v>
      </c>
      <c r="AK52" s="51" t="str" cm="1">
        <f t="array" ref="AK52">IFERROR(_xlfn.TEXTJOIN(", ", TRUE, _xlfn.UNIQUE(_xlfn._xlws.FILTER(K$2:K$100, (A$2:A$100 = AF52) * (D$2:D$100 = AG52) * (J$2:J$100 &lt;= 0.05)))), "")</f>
        <v/>
      </c>
      <c r="AL52" s="51" t="str" cm="1">
        <f t="array" ref="AL52">IFERROR(_xlfn.TEXTJOIN(", ", TRUE, _xlfn.UNIQUE(_xlfn._xlws.FILTER(L$2:L$100, (A$2:A$100 = AF52) * (D$2:D$100 = AG52) * (J$2:J$100 &lt;= 0.05)))), "")</f>
        <v/>
      </c>
      <c r="AM52" s="51" t="str">
        <f t="shared" si="22"/>
        <v>ME</v>
      </c>
      <c r="AP52" s="209"/>
      <c r="AQ52" s="210"/>
      <c r="AR52" s="211"/>
      <c r="AS52" s="212"/>
      <c r="AT52" s="210"/>
      <c r="AU52" s="213"/>
      <c r="AV52" s="213"/>
      <c r="BA52" s="1" t="str" cm="1">
        <f t="array" ref="BA52">INDEX($AZ$1:$AZ$100,INT((ROW(A52)-1)/3)+1)</f>
        <v>Including Cost-effectiveness assessment</v>
      </c>
      <c r="BB52" s="1" t="str" cm="1">
        <f t="array" ref="BB52">INDEX({"OR","RRR","ME"},MOD(ROW(AB52)-1,3)+1)</f>
        <v>OR</v>
      </c>
      <c r="BD52" s="215"/>
      <c r="BE52" s="216"/>
    </row>
    <row r="53" spans="1:57" ht="60">
      <c r="A53" s="132" t="s">
        <v>1237</v>
      </c>
      <c r="B53" s="187" t="s">
        <v>949</v>
      </c>
      <c r="C53" s="100" t="s">
        <v>1237</v>
      </c>
      <c r="D53" s="93" t="s">
        <v>1238</v>
      </c>
      <c r="E53" s="95">
        <f>0.5/0.96</f>
        <v>0.52083333333333337</v>
      </c>
      <c r="F53" s="95"/>
      <c r="G53" s="95"/>
      <c r="H53" s="95"/>
      <c r="I53" s="95"/>
      <c r="J53" s="100">
        <v>0.01</v>
      </c>
      <c r="K53" s="100" t="s">
        <v>1239</v>
      </c>
      <c r="L53" s="100" t="s">
        <v>1240</v>
      </c>
      <c r="M53" s="70"/>
      <c r="V53" s="100" t="str">
        <f t="shared" si="39"/>
        <v>Including Cost-effectiveness assessment</v>
      </c>
      <c r="W53" s="51" t="str">
        <f t="shared" si="35"/>
        <v>OR</v>
      </c>
      <c r="X53" s="51" t="e">
        <f t="shared" si="36"/>
        <v>#VALUE!</v>
      </c>
      <c r="Y53" s="51" t="str">
        <f t="shared" si="37"/>
        <v>NA</v>
      </c>
      <c r="Z53" s="51" t="str">
        <f t="shared" si="38"/>
        <v>NA</v>
      </c>
      <c r="AA53" s="51" t="str" cm="1">
        <f t="array" ref="AA53">IFERROR(_xlfn.TEXTJOIN(", ", TRUE, _xlfn.UNIQUE(_xlfn._xlws.FILTER(K$2:K$100, (A$2:A$100 = V53) * (D$2:D$100 = W53)))), "")</f>
        <v/>
      </c>
      <c r="AB53" s="51" t="str" cm="1">
        <f t="array" ref="AB53">_xlfn.TEXTJOIN(", ", TRUE, _xlfn.UNIQUE(IF((A$2:A$100 = V53) * (D$2:D$100 = W53), L$2:L$100, "")))</f>
        <v/>
      </c>
      <c r="AC53" s="51" t="str">
        <f t="shared" si="5"/>
        <v>OR / RRR</v>
      </c>
      <c r="AF53" s="100" t="str">
        <f t="shared" si="17"/>
        <v>Including Cost-effectiveness assessment</v>
      </c>
      <c r="AG53" s="51" t="str">
        <f t="shared" si="18"/>
        <v>OR</v>
      </c>
      <c r="AH53" s="194" t="e">
        <f t="shared" si="19"/>
        <v>#VALUE!</v>
      </c>
      <c r="AI53" s="51" t="str">
        <f t="shared" ref="AI53" si="40">IF(_xlfn.MINIFS(P:P,A:A,V53,D:D,W53)=0,"NA",_xlfn.MINIFS(P:P,A:A,V53,D:D,W53))</f>
        <v>NA</v>
      </c>
      <c r="AJ53" s="51" t="str">
        <f t="shared" ref="AJ53" si="41">IF(_xlfn.MAXIFS(P:P,A:A,V53,D:D,W53)=0,"NA",_xlfn.MAXIFS(P:P,A:A,V53,D:D,W53))</f>
        <v>NA</v>
      </c>
      <c r="AK53" s="51" t="str" cm="1">
        <f t="array" ref="AK53">IFERROR(_xlfn.TEXTJOIN(", ", TRUE, _xlfn.UNIQUE(_xlfn._xlws.FILTER(K$2:K$100, (A$2:A$100 = AF53) * (D$2:D$100 = AG53) * (J$2:J$100 &lt;= 0.05)))), "")</f>
        <v/>
      </c>
      <c r="AL53" s="51" t="str" cm="1">
        <f t="array" ref="AL53">IFERROR(_xlfn.TEXTJOIN(", ", TRUE, _xlfn.UNIQUE(_xlfn._xlws.FILTER(L$2:L$100, (A$2:A$100 = AF53) * (D$2:D$100 = AG53) * (J$2:J$100 &lt;= 0.05)))), "")</f>
        <v/>
      </c>
      <c r="AM53" s="51" t="str">
        <f t="shared" si="22"/>
        <v>OR / RRR</v>
      </c>
      <c r="AP53" s="209"/>
      <c r="AQ53" s="210"/>
      <c r="AR53" s="211"/>
      <c r="AS53" s="212"/>
      <c r="AT53" s="210"/>
      <c r="AU53" s="213"/>
      <c r="AV53" s="213"/>
      <c r="BA53" s="1" t="str" cm="1">
        <f t="array" ref="BA53">INDEX($AZ$1:$AZ$100,INT((ROW(A53)-1)/3)+1)</f>
        <v>Including Cost-effectiveness assessment</v>
      </c>
      <c r="BB53" s="1" t="str" cm="1">
        <f t="array" ref="BB53">INDEX({"OR","RRR","ME"},MOD(ROW(AB53)-1,3)+1)</f>
        <v>RRR</v>
      </c>
      <c r="BD53" s="215"/>
      <c r="BE53" s="216"/>
    </row>
    <row r="54" spans="1:57" ht="60">
      <c r="A54" s="132" t="s">
        <v>1237</v>
      </c>
      <c r="B54" s="187" t="s">
        <v>949</v>
      </c>
      <c r="C54" s="100" t="s">
        <v>1237</v>
      </c>
      <c r="D54" s="93" t="s">
        <v>1238</v>
      </c>
      <c r="E54" s="95">
        <f>0.29/0.79</f>
        <v>0.36708860759493667</v>
      </c>
      <c r="F54" s="95"/>
      <c r="G54" s="95"/>
      <c r="H54" s="95"/>
      <c r="I54" s="95"/>
      <c r="J54" s="100">
        <v>0.01</v>
      </c>
      <c r="K54" s="100" t="s">
        <v>548</v>
      </c>
      <c r="L54" s="100" t="s">
        <v>1240</v>
      </c>
      <c r="M54" s="70"/>
      <c r="V54" s="100" t="str">
        <f t="shared" si="39"/>
        <v>Including Cost-effectiveness assessment</v>
      </c>
      <c r="W54" s="51" t="str">
        <f t="shared" si="35"/>
        <v>RRR</v>
      </c>
      <c r="X54" s="51">
        <f t="shared" si="36"/>
        <v>0.15</v>
      </c>
      <c r="Y54" s="51">
        <f t="shared" si="37"/>
        <v>0.15016809184547467</v>
      </c>
      <c r="Z54" s="51">
        <f t="shared" si="38"/>
        <v>0.15016809184547467</v>
      </c>
      <c r="AA54" s="51" t="str" cm="1">
        <f t="array" ref="AA54">IFERROR(_xlfn.TEXTJOIN(", ", TRUE, _xlfn.UNIQUE(_xlfn._xlws.FILTER(K$2:K$100, (A$2:A$100 = V54) * (D$2:D$100 = W54)))), "")</f>
        <v>UK</v>
      </c>
      <c r="AB54" s="51" t="str" cm="1">
        <f t="array" ref="AB54">_xlfn.TEXTJOIN(", ", TRUE, _xlfn.UNIQUE(IF((A$2:A$100 = V54) * (D$2:D$100 = W54), L$2:L$100, "")))</f>
        <v>(H. A. Dakin et al., 2006)</v>
      </c>
      <c r="AC54" s="51" t="str">
        <f t="shared" si="5"/>
        <v>OR / RRR</v>
      </c>
      <c r="AF54" s="100" t="str">
        <f t="shared" si="17"/>
        <v>Including Cost-effectiveness assessment</v>
      </c>
      <c r="AG54" s="51" t="str">
        <f t="shared" si="18"/>
        <v>RRR</v>
      </c>
      <c r="AH54" s="194" t="e">
        <f t="shared" si="19"/>
        <v>#VALUE!</v>
      </c>
      <c r="AI54" s="51" t="str">
        <f t="shared" ref="AI54:AI55" si="42">IF(_xlfn.MINIFS(P:P,A:A,V54,D:D,W54)=0,"NA",_xlfn.MINIFS(P:P,A:A,V54,D:D,W54))</f>
        <v>NA</v>
      </c>
      <c r="AJ54" s="51" t="str">
        <f t="shared" ref="AJ54:AJ55" si="43">IF(_xlfn.MAXIFS(P:P,A:A,V54,D:D,W54)=0,"NA",_xlfn.MAXIFS(P:P,A:A,V54,D:D,W54))</f>
        <v>NA</v>
      </c>
      <c r="AK54" s="51" t="str" cm="1">
        <f t="array" ref="AK54">IFERROR(_xlfn.TEXTJOIN(", ", TRUE, _xlfn.UNIQUE(_xlfn._xlws.FILTER(K$2:K$100, (A$2:A$100 = AF54) * (D$2:D$100 = AG54) * (J$2:J$100 &lt;= 0.05)))), "")</f>
        <v/>
      </c>
      <c r="AL54" s="51" t="str" cm="1">
        <f t="array" ref="AL54">IFERROR(_xlfn.TEXTJOIN(", ", TRUE, _xlfn.UNIQUE(_xlfn._xlws.FILTER(L$2:L$100, (A$2:A$100 = AF54) * (D$2:D$100 = AG54) * (J$2:J$100 &lt;= 0.05)))), "")</f>
        <v/>
      </c>
      <c r="AM54" s="51" t="str">
        <f t="shared" si="22"/>
        <v>OR / RRR</v>
      </c>
      <c r="AP54" s="209"/>
      <c r="AQ54" s="210"/>
      <c r="AR54" s="211"/>
      <c r="AS54" s="212"/>
      <c r="AT54" s="210"/>
      <c r="AU54" s="213"/>
      <c r="AV54" s="213"/>
      <c r="BA54" s="1" t="str" cm="1">
        <f t="array" ref="BA54">INDEX($AZ$1:$AZ$100,INT((ROW(A54)-1)/3)+1)</f>
        <v>Including Cost-effectiveness assessment</v>
      </c>
      <c r="BB54" s="1" t="str" cm="1">
        <f t="array" ref="BB54">INDEX({"OR","RRR","ME"},MOD(ROW(AB54)-1,3)+1)</f>
        <v>ME</v>
      </c>
      <c r="BD54" s="215"/>
      <c r="BE54" s="216"/>
    </row>
    <row r="55" spans="1:57" ht="58.5" customHeight="1">
      <c r="A55" s="132" t="s">
        <v>1241</v>
      </c>
      <c r="B55" s="188" t="s">
        <v>914</v>
      </c>
      <c r="C55" s="100" t="s">
        <v>1241</v>
      </c>
      <c r="D55" s="93" t="s">
        <v>891</v>
      </c>
      <c r="E55" s="95">
        <f>1/EXP(1.896)</f>
        <v>0.15016809184547467</v>
      </c>
      <c r="F55" s="95">
        <f>1/EXP(3.827)</f>
        <v>2.1774842267775037E-2</v>
      </c>
      <c r="G55" s="95">
        <f>1/EXP(-0.767)</f>
        <v>2.1532966642600391</v>
      </c>
      <c r="H55" s="95"/>
      <c r="I55" s="95"/>
      <c r="J55" s="100">
        <v>5.3999999999999999E-2</v>
      </c>
      <c r="K55" s="100" t="s">
        <v>840</v>
      </c>
      <c r="L55" s="100" t="s">
        <v>916</v>
      </c>
      <c r="M55" s="70"/>
      <c r="V55" s="100" t="str">
        <f t="shared" si="39"/>
        <v>Including Cost-effectiveness assessment</v>
      </c>
      <c r="W55" s="51" t="str">
        <f t="shared" si="35"/>
        <v>ME</v>
      </c>
      <c r="X55" s="51" t="e">
        <f t="shared" si="36"/>
        <v>#VALUE!</v>
      </c>
      <c r="Y55" s="51" t="str">
        <f>IF(_xlfn.MINIFS(P:P,A:A,V55,D:D,W55)=0,"NA",_xlfn.MINIFS(P:P,A:A,V55,D:D,W55))</f>
        <v>NA</v>
      </c>
      <c r="Z55" s="51" t="str">
        <f>IF(_xlfn.MAXIFS(Q:Q,A:A,V55,D:D,W55)=0,"NA",_xlfn.MAXIFS(Q:Q,A:A,V55,D:D,W55))</f>
        <v>NA</v>
      </c>
      <c r="AA55" s="51" t="str" cm="1">
        <f t="array" ref="AA55">IFERROR(_xlfn.TEXTJOIN(", ", TRUE, _xlfn.UNIQUE(_xlfn._xlws.FILTER(K$2:K$100, (A$2:A$100 = V55) * (D$2:D$100 = W55)))), "")</f>
        <v/>
      </c>
      <c r="AB55" s="51" t="str" cm="1">
        <f t="array" ref="AB55">_xlfn.TEXTJOIN(", ", TRUE, _xlfn.UNIQUE(IF((A$2:A$100 = V55) * (D$2:D$100 = W55), L$2:L$100, "")))</f>
        <v/>
      </c>
      <c r="AC55" s="51" t="str">
        <f t="shared" si="5"/>
        <v>ME</v>
      </c>
      <c r="AF55" s="100" t="str">
        <f t="shared" si="17"/>
        <v>Including Cost-effectiveness assessment</v>
      </c>
      <c r="AG55" s="51" t="str">
        <f t="shared" si="18"/>
        <v>ME</v>
      </c>
      <c r="AH55" s="194" t="e">
        <f t="shared" si="19"/>
        <v>#VALUE!</v>
      </c>
      <c r="AI55" s="51" t="str">
        <f t="shared" si="42"/>
        <v>NA</v>
      </c>
      <c r="AJ55" s="51" t="str">
        <f t="shared" si="43"/>
        <v>NA</v>
      </c>
      <c r="AK55" s="51" t="str" cm="1">
        <f t="array" ref="AK55">IFERROR(_xlfn.TEXTJOIN(", ", TRUE, _xlfn.UNIQUE(_xlfn._xlws.FILTER(K$2:K$100, (A$2:A$100 = AF55) * (D$2:D$100 = AG55) * (J$2:J$100 &lt;= 0.05)))), "")</f>
        <v/>
      </c>
      <c r="AL55" s="51" t="str" cm="1">
        <f t="array" ref="AL55">IFERROR(_xlfn.TEXTJOIN(", ", TRUE, _xlfn.UNIQUE(_xlfn._xlws.FILTER(L$2:L$100, (A$2:A$100 = AF55) * (D$2:D$100 = AG55) * (J$2:J$100 &lt;= 0.05)))), "")</f>
        <v/>
      </c>
      <c r="AM55" s="51" t="str">
        <f t="shared" si="22"/>
        <v>ME</v>
      </c>
      <c r="AP55" s="209"/>
      <c r="AQ55" s="210"/>
      <c r="AR55" s="211"/>
      <c r="AS55" s="212"/>
      <c r="AT55" s="210"/>
      <c r="AU55" s="213"/>
      <c r="AV55" s="213"/>
      <c r="BA55" s="1" t="str" cm="1">
        <f t="array" ref="BA55">INDEX($AZ$1:$AZ$100,INT((ROW(A55)-1)/3)+1)</f>
        <v>Including Price Negotiations (unadjusted)</v>
      </c>
      <c r="BB55" s="1" t="str" cm="1">
        <f t="array" ref="BB55">INDEX({"OR","RRR","ME"},MOD(ROW(AB55)-1,3)+1)</f>
        <v>OR</v>
      </c>
      <c r="BD55" s="215"/>
      <c r="BE55" s="216"/>
    </row>
    <row r="56" spans="1:57" ht="42.75" customHeight="1">
      <c r="A56" s="132" t="s">
        <v>1234</v>
      </c>
      <c r="B56" s="189" t="s">
        <v>878</v>
      </c>
      <c r="C56" s="100" t="s">
        <v>1242</v>
      </c>
      <c r="D56" s="93" t="s">
        <v>879</v>
      </c>
      <c r="E56" s="95">
        <v>6.0019999999999998</v>
      </c>
      <c r="F56" s="95">
        <v>1.3740000000000001</v>
      </c>
      <c r="G56" s="95">
        <v>26.222999999999999</v>
      </c>
      <c r="H56" s="95"/>
      <c r="I56" s="95"/>
      <c r="J56" s="100">
        <v>0.05</v>
      </c>
      <c r="K56" s="100" t="s">
        <v>840</v>
      </c>
      <c r="L56" s="100" t="s">
        <v>974</v>
      </c>
      <c r="M56" s="70"/>
      <c r="V56" s="44" t="str">
        <f t="shared" si="39"/>
        <v>Including Price Negotiations (unadjusted)</v>
      </c>
      <c r="W56" s="51" t="str">
        <f t="shared" si="35"/>
        <v>OR</v>
      </c>
      <c r="X56" s="51" t="e">
        <f t="shared" si="36"/>
        <v>#VALUE!</v>
      </c>
      <c r="Y56" s="51" t="str">
        <f t="shared" si="37"/>
        <v>NA</v>
      </c>
      <c r="Z56" s="51" t="str">
        <f t="shared" si="38"/>
        <v>NA</v>
      </c>
      <c r="AA56" s="51" t="str" cm="1">
        <f t="array" ref="AA56">IFERROR(_xlfn.TEXTJOIN(", ", TRUE, _xlfn.UNIQUE(_xlfn._xlws.FILTER(K$2:K$100, (A$2:A$100 = V56) * (D$2:D$100 = W56)))), "")</f>
        <v/>
      </c>
      <c r="AB56" s="51" t="str" cm="1">
        <f t="array" ref="AB56">_xlfn.TEXTJOIN(", ", TRUE, _xlfn.UNIQUE(IF((A$2:A$100 = V56) * (D$2:D$100 = W56), L$2:L$100, "")))</f>
        <v/>
      </c>
      <c r="AC56" s="51" t="str">
        <f t="shared" si="5"/>
        <v>OR / RRR</v>
      </c>
      <c r="AF56" s="44" t="str">
        <f t="shared" si="17"/>
        <v>Including Price Negotiations (unadjusted)</v>
      </c>
      <c r="AG56" s="51" t="str">
        <f t="shared" si="18"/>
        <v>OR</v>
      </c>
      <c r="AH56" s="194" t="e">
        <f t="shared" si="19"/>
        <v>#VALUE!</v>
      </c>
      <c r="AI56" s="51" t="str">
        <f t="shared" si="20"/>
        <v>NA</v>
      </c>
      <c r="AJ56" s="51" t="str">
        <f t="shared" si="21"/>
        <v>NA</v>
      </c>
      <c r="AK56" s="51" t="str" cm="1">
        <f t="array" ref="AK56">IFERROR(_xlfn.TEXTJOIN(", ", TRUE, _xlfn.UNIQUE(_xlfn._xlws.FILTER(K$2:K$100, (A$2:A$100 = AF56) * (D$2:D$100 = AG56) * (J$2:J$100 &lt;= 0.05)))), "")</f>
        <v/>
      </c>
      <c r="AL56" s="51" t="str" cm="1">
        <f t="array" ref="AL56">IFERROR(_xlfn.TEXTJOIN(", ", TRUE, _xlfn.UNIQUE(_xlfn._xlws.FILTER(L$2:L$100, (A$2:A$100 = AF56) * (D$2:D$100 = AG56) * (J$2:J$100 &lt;= 0.05)))), "")</f>
        <v/>
      </c>
      <c r="AM56" s="51" t="str">
        <f t="shared" si="22"/>
        <v>OR / RRR</v>
      </c>
      <c r="AP56" s="209"/>
      <c r="AQ56" s="210"/>
      <c r="AR56" s="211"/>
      <c r="AS56" s="212"/>
      <c r="AT56" s="210"/>
      <c r="AU56" s="213"/>
      <c r="AV56" s="213"/>
      <c r="BA56" s="1" t="str" cm="1">
        <f t="array" ref="BA56">INDEX($AZ$1:$AZ$100,INT((ROW(A56)-1)/3)+1)</f>
        <v>Including Price Negotiations (unadjusted)</v>
      </c>
      <c r="BB56" s="1" t="str" cm="1">
        <f t="array" ref="BB56">INDEX({"OR","RRR","ME"},MOD(ROW(AB56)-1,3)+1)</f>
        <v>RRR</v>
      </c>
      <c r="BD56" s="215"/>
      <c r="BE56" s="216"/>
    </row>
    <row r="57" spans="1:57" ht="54.75" customHeight="1">
      <c r="A57" s="132" t="s">
        <v>1243</v>
      </c>
      <c r="B57" s="187" t="s">
        <v>949</v>
      </c>
      <c r="C57" s="100" t="s">
        <v>1243</v>
      </c>
      <c r="D57" s="93" t="s">
        <v>1238</v>
      </c>
      <c r="E57" s="95">
        <f>0.97/0.69</f>
        <v>1.4057971014492754</v>
      </c>
      <c r="F57" s="95"/>
      <c r="G57" s="95"/>
      <c r="H57" s="95"/>
      <c r="I57" s="95"/>
      <c r="J57" s="100">
        <v>0.01</v>
      </c>
      <c r="K57" s="100" t="s">
        <v>565</v>
      </c>
      <c r="L57" s="100" t="s">
        <v>1240</v>
      </c>
      <c r="M57" s="67"/>
      <c r="V57" s="44" t="str">
        <f t="shared" si="39"/>
        <v>Including Price Negotiations (unadjusted)</v>
      </c>
      <c r="W57" s="51" t="str">
        <f t="shared" si="35"/>
        <v>RRR</v>
      </c>
      <c r="X57" s="51" t="e">
        <f t="shared" si="36"/>
        <v>#VALUE!</v>
      </c>
      <c r="Y57" s="51" t="str">
        <f t="shared" si="37"/>
        <v>NA</v>
      </c>
      <c r="Z57" s="51" t="str">
        <f t="shared" si="38"/>
        <v>NA</v>
      </c>
      <c r="AA57" s="51" t="str" cm="1">
        <f t="array" ref="AA57">IFERROR(_xlfn.TEXTJOIN(", ", TRUE, _xlfn.UNIQUE(_xlfn._xlws.FILTER(K$2:K$100, (A$2:A$100 = V57) * (D$2:D$100 = W57)))), "")</f>
        <v/>
      </c>
      <c r="AB57" s="51" t="str" cm="1">
        <f t="array" ref="AB57">_xlfn.TEXTJOIN(", ", TRUE, _xlfn.UNIQUE(IF((A$2:A$100 = V57) * (D$2:D$100 = W57), L$2:L$100, "")))</f>
        <v/>
      </c>
      <c r="AC57" s="51" t="str">
        <f t="shared" si="5"/>
        <v>OR / RRR</v>
      </c>
      <c r="AF57" s="44" t="str">
        <f t="shared" si="17"/>
        <v>Including Price Negotiations (unadjusted)</v>
      </c>
      <c r="AG57" s="51" t="str">
        <f t="shared" si="18"/>
        <v>RRR</v>
      </c>
      <c r="AH57" s="194" t="e">
        <f t="shared" si="19"/>
        <v>#VALUE!</v>
      </c>
      <c r="AI57" s="51" t="str">
        <f t="shared" si="20"/>
        <v>NA</v>
      </c>
      <c r="AJ57" s="51" t="str">
        <f t="shared" si="21"/>
        <v>NA</v>
      </c>
      <c r="AK57" s="51" t="str" cm="1">
        <f t="array" ref="AK57">IFERROR(_xlfn.TEXTJOIN(", ", TRUE, _xlfn.UNIQUE(_xlfn._xlws.FILTER(K$2:K$100, (A$2:A$100 = AF57) * (D$2:D$100 = AG57) * (J$2:J$100 &lt;= 0.05)))), "")</f>
        <v/>
      </c>
      <c r="AL57" s="51" t="str" cm="1">
        <f t="array" ref="AL57">IFERROR(_xlfn.TEXTJOIN(", ", TRUE, _xlfn.UNIQUE(_xlfn._xlws.FILTER(L$2:L$100, (A$2:A$100 = AF57) * (D$2:D$100 = AG57) * (J$2:J$100 &lt;= 0.05)))), "")</f>
        <v/>
      </c>
      <c r="AM57" s="51" t="str">
        <f t="shared" si="22"/>
        <v>OR / RRR</v>
      </c>
      <c r="AP57" s="209"/>
      <c r="AQ57" s="210"/>
      <c r="AR57" s="211"/>
      <c r="AS57" s="212"/>
      <c r="AT57" s="210"/>
      <c r="AU57" s="213"/>
      <c r="AV57" s="213"/>
      <c r="BA57" s="1" t="str" cm="1">
        <f t="array" ref="BA57">INDEX($AZ$1:$AZ$100,INT((ROW(A57)-1)/3)+1)</f>
        <v>Including Price Negotiations (unadjusted)</v>
      </c>
      <c r="BB57" s="1" t="str" cm="1">
        <f t="array" ref="BB57">INDEX({"OR","RRR","ME"},MOD(ROW(AB57)-1,3)+1)</f>
        <v>ME</v>
      </c>
      <c r="BD57" s="215"/>
      <c r="BE57" s="216"/>
    </row>
    <row r="58" spans="1:57" ht="51.75" customHeight="1">
      <c r="A58" s="132" t="s">
        <v>1243</v>
      </c>
      <c r="B58" s="187" t="s">
        <v>949</v>
      </c>
      <c r="C58" s="100" t="s">
        <v>1243</v>
      </c>
      <c r="D58" s="93" t="s">
        <v>1238</v>
      </c>
      <c r="E58" s="95">
        <f>1/0.66</f>
        <v>1.5151515151515151</v>
      </c>
      <c r="F58" s="95"/>
      <c r="G58" s="95"/>
      <c r="H58" s="95"/>
      <c r="I58" s="95"/>
      <c r="J58" s="100">
        <v>0.01</v>
      </c>
      <c r="K58" s="100" t="s">
        <v>50</v>
      </c>
      <c r="L58" s="100" t="s">
        <v>1240</v>
      </c>
      <c r="M58" s="67"/>
      <c r="V58" s="44" t="str">
        <f>BA57</f>
        <v>Including Price Negotiations (unadjusted)</v>
      </c>
      <c r="W58" s="51" t="str">
        <f t="shared" si="35"/>
        <v>ME</v>
      </c>
      <c r="X58" s="51" t="e">
        <f t="shared" si="36"/>
        <v>#VALUE!</v>
      </c>
      <c r="Y58" s="51" t="str">
        <f t="shared" si="37"/>
        <v>NA</v>
      </c>
      <c r="Z58" s="51" t="str">
        <f t="shared" si="38"/>
        <v>NA</v>
      </c>
      <c r="AA58" s="51" t="str" cm="1">
        <f t="array" ref="AA58">IFERROR(_xlfn.TEXTJOIN(", ", TRUE, _xlfn.UNIQUE(_xlfn._xlws.FILTER(K$2:K$100, (A$2:A$100 = V58) * (D$2:D$100 = W58)))), "")</f>
        <v/>
      </c>
      <c r="AB58" s="51" t="str" cm="1">
        <f t="array" ref="AB58">_xlfn.TEXTJOIN(", ", TRUE, _xlfn.UNIQUE(IF((A$2:A$100 = V58) * (D$2:D$100 = W58), L$2:L$100, "")))</f>
        <v/>
      </c>
      <c r="AC58" s="51" t="str">
        <f t="shared" si="5"/>
        <v>ME</v>
      </c>
      <c r="AF58" s="44" t="str">
        <f t="shared" si="17"/>
        <v>Including Price Negotiations (unadjusted)</v>
      </c>
      <c r="AG58" s="51" t="str">
        <f t="shared" si="18"/>
        <v>ME</v>
      </c>
      <c r="AH58" s="194" t="e">
        <f t="shared" si="19"/>
        <v>#VALUE!</v>
      </c>
      <c r="AI58" s="51" t="str">
        <f t="shared" si="20"/>
        <v>NA</v>
      </c>
      <c r="AJ58" s="51" t="str">
        <f t="shared" si="21"/>
        <v>NA</v>
      </c>
      <c r="AK58" s="51" t="str" cm="1">
        <f t="array" ref="AK58">IFERROR(_xlfn.TEXTJOIN(", ", TRUE, _xlfn.UNIQUE(_xlfn._xlws.FILTER(K$2:K$100, (A$2:A$100 = AF58) * (D$2:D$100 = AG58) * (J$2:J$100 &lt;= 0.05)))), "")</f>
        <v/>
      </c>
      <c r="AL58" s="51" t="str" cm="1">
        <f t="array" ref="AL58">IFERROR(_xlfn.TEXTJOIN(", ", TRUE, _xlfn.UNIQUE(_xlfn._xlws.FILTER(L$2:L$100, (A$2:A$100 = AF58) * (D$2:D$100 = AG58) * (J$2:J$100 &lt;= 0.05)))), "")</f>
        <v/>
      </c>
      <c r="AM58" s="51" t="str">
        <f t="shared" si="22"/>
        <v>ME</v>
      </c>
      <c r="AP58" s="209"/>
      <c r="AQ58" s="210"/>
      <c r="AR58" s="211"/>
      <c r="AS58" s="212"/>
      <c r="AT58" s="210"/>
      <c r="AU58" s="213"/>
      <c r="AV58" s="213"/>
      <c r="BA58" s="1" t="str" cm="1">
        <f t="array" ref="BA58">INDEX($AZ$1:$AZ$100,INT((ROW(A58)-1)/3)+1)</f>
        <v>Intervention Expenditure</v>
      </c>
      <c r="BB58" s="1" t="str" cm="1">
        <f t="array" ref="BB58">INDEX({"OR","RRR","ME"},MOD(ROW(AB58)-1,3)+1)</f>
        <v>OR</v>
      </c>
      <c r="BD58" s="215"/>
      <c r="BE58" s="216"/>
    </row>
    <row r="59" spans="1:57" ht="52.5" customHeight="1">
      <c r="A59" s="132" t="s">
        <v>1243</v>
      </c>
      <c r="B59" s="187" t="s">
        <v>949</v>
      </c>
      <c r="C59" s="100" t="s">
        <v>1243</v>
      </c>
      <c r="D59" s="93" t="s">
        <v>1238</v>
      </c>
      <c r="E59" s="95">
        <f>0.76/0.5</f>
        <v>1.52</v>
      </c>
      <c r="F59" s="95"/>
      <c r="G59" s="95"/>
      <c r="H59" s="95"/>
      <c r="I59" s="95"/>
      <c r="J59" s="100">
        <v>0.01</v>
      </c>
      <c r="K59" s="100" t="s">
        <v>1239</v>
      </c>
      <c r="L59" s="100" t="s">
        <v>1240</v>
      </c>
      <c r="M59" s="67"/>
      <c r="V59" s="44" t="str">
        <f t="shared" ref="V59:V69" si="44">BA58</f>
        <v>Intervention Expenditure</v>
      </c>
      <c r="W59" s="51" t="str">
        <f t="shared" si="35"/>
        <v>OR</v>
      </c>
      <c r="X59" s="51" t="e">
        <f t="shared" si="36"/>
        <v>#VALUE!</v>
      </c>
      <c r="Y59" s="51" t="str">
        <f t="shared" si="37"/>
        <v>NA</v>
      </c>
      <c r="Z59" s="51" t="str">
        <f t="shared" si="38"/>
        <v>NA</v>
      </c>
      <c r="AA59" s="51" t="str" cm="1">
        <f t="array" ref="AA59">IFERROR(_xlfn.TEXTJOIN(", ", TRUE, _xlfn.UNIQUE(_xlfn._xlws.FILTER(K$2:K$100, (A$2:A$100 = V59) * (D$2:D$100 = W59)))), "")</f>
        <v/>
      </c>
      <c r="AB59" s="51" t="str" cm="1">
        <f t="array" ref="AB59">_xlfn.TEXTJOIN(", ", TRUE, _xlfn.UNIQUE(IF((A$2:A$100 = V59) * (D$2:D$100 = W59), L$2:L$100, "")))</f>
        <v/>
      </c>
      <c r="AC59" s="51" t="str">
        <f t="shared" si="5"/>
        <v>OR / RRR</v>
      </c>
      <c r="AF59" s="44" t="str">
        <f t="shared" si="17"/>
        <v>Intervention Expenditure</v>
      </c>
      <c r="AG59" s="51" t="str">
        <f t="shared" si="18"/>
        <v>OR</v>
      </c>
      <c r="AH59" s="194" t="e">
        <f t="shared" si="19"/>
        <v>#VALUE!</v>
      </c>
      <c r="AI59" s="51" t="str">
        <f t="shared" si="20"/>
        <v>NA</v>
      </c>
      <c r="AJ59" s="51" t="str">
        <f t="shared" si="21"/>
        <v>NA</v>
      </c>
      <c r="AK59" s="51" t="str" cm="1">
        <f t="array" ref="AK59">IFERROR(_xlfn.TEXTJOIN(", ", TRUE, _xlfn.UNIQUE(_xlfn._xlws.FILTER(K$2:K$100, (A$2:A$100 = AF59) * (D$2:D$100 = AG59) * (J$2:J$100 &lt;= 0.05)))), "")</f>
        <v/>
      </c>
      <c r="AL59" s="51" t="str" cm="1">
        <f t="array" ref="AL59">IFERROR(_xlfn.TEXTJOIN(", ", TRUE, _xlfn.UNIQUE(_xlfn._xlws.FILTER(L$2:L$100, (A$2:A$100 = AF59) * (D$2:D$100 = AG59) * (J$2:J$100 &lt;= 0.05)))), "")</f>
        <v/>
      </c>
      <c r="AM59" s="51" t="str">
        <f t="shared" si="22"/>
        <v>OR / RRR</v>
      </c>
      <c r="AP59" s="209"/>
      <c r="AQ59" s="210"/>
      <c r="AR59" s="211"/>
      <c r="AS59" s="212"/>
      <c r="AT59" s="210"/>
      <c r="AU59" s="213"/>
      <c r="AV59" s="213"/>
      <c r="BA59" s="1" t="str" cm="1">
        <f t="array" ref="BA59">INDEX($AZ$1:$AZ$100,INT((ROW(A59)-1)/3)+1)</f>
        <v>Intervention Expenditure</v>
      </c>
      <c r="BB59" s="1" t="str" cm="1">
        <f t="array" ref="BB59">INDEX({"OR","RRR","ME"},MOD(ROW(AB59)-1,3)+1)</f>
        <v>RRR</v>
      </c>
      <c r="BD59" s="215"/>
      <c r="BE59" s="216"/>
    </row>
    <row r="60" spans="1:57" ht="30">
      <c r="A60" s="154" t="s">
        <v>1192</v>
      </c>
      <c r="B60" s="182" t="s">
        <v>897</v>
      </c>
      <c r="C60" s="96" t="s">
        <v>1244</v>
      </c>
      <c r="D60" s="93" t="s">
        <v>894</v>
      </c>
      <c r="E60" s="95">
        <v>-0.01</v>
      </c>
      <c r="F60" s="95">
        <v>-0.01</v>
      </c>
      <c r="G60" s="95">
        <v>0</v>
      </c>
      <c r="H60" s="95"/>
      <c r="I60" s="95"/>
      <c r="J60" s="96">
        <v>0.02</v>
      </c>
      <c r="K60" s="96" t="s">
        <v>365</v>
      </c>
      <c r="L60" s="92" t="s">
        <v>901</v>
      </c>
      <c r="M60" s="83">
        <v>1000000</v>
      </c>
      <c r="N60" s="85">
        <f>AVERAGE('LCU to Int$ per year'!D6:D16)</f>
        <v>1.3195508181818183</v>
      </c>
      <c r="O60" s="80">
        <v>1000000</v>
      </c>
      <c r="P60" s="81">
        <f>E60*(O60/(M60/N60))</f>
        <v>-1.3195508181818184E-2</v>
      </c>
      <c r="Q60" s="82">
        <f>F60*(O60/(M60/N60))</f>
        <v>-1.3195508181818184E-2</v>
      </c>
      <c r="R60" s="82">
        <f>G60*(O60/(M60/N60))</f>
        <v>0</v>
      </c>
      <c r="V60" s="44" t="str">
        <f t="shared" si="44"/>
        <v>Intervention Expenditure</v>
      </c>
      <c r="W60" s="51" t="str">
        <f t="shared" si="35"/>
        <v>RRR</v>
      </c>
      <c r="X60" s="51" t="e">
        <f t="shared" si="36"/>
        <v>#VALUE!</v>
      </c>
      <c r="Y60" s="51" t="str">
        <f t="shared" si="37"/>
        <v>NA</v>
      </c>
      <c r="Z60" s="51" t="str">
        <f t="shared" si="38"/>
        <v>NA</v>
      </c>
      <c r="AA60" s="51" t="str" cm="1">
        <f t="array" ref="AA60">IFERROR(_xlfn.TEXTJOIN(", ", TRUE, _xlfn.UNIQUE(_xlfn._xlws.FILTER(K$2:K$100, (A$2:A$100 = V60) * (D$2:D$100 = W60)))), "")</f>
        <v/>
      </c>
      <c r="AB60" s="51" t="str" cm="1">
        <f t="array" ref="AB60">_xlfn.TEXTJOIN(", ", TRUE, _xlfn.UNIQUE(IF((A$2:A$100 = V60) * (D$2:D$100 = W60), L$2:L$100, "")))</f>
        <v/>
      </c>
      <c r="AC60" s="51" t="str">
        <f t="shared" si="5"/>
        <v>OR / RRR</v>
      </c>
      <c r="AF60" s="44" t="str">
        <f t="shared" si="17"/>
        <v>Intervention Expenditure</v>
      </c>
      <c r="AG60" s="51" t="str">
        <f t="shared" si="18"/>
        <v>RRR</v>
      </c>
      <c r="AH60" s="194" t="e">
        <f t="shared" si="19"/>
        <v>#VALUE!</v>
      </c>
      <c r="AI60" s="51" t="str">
        <f t="shared" si="20"/>
        <v>NA</v>
      </c>
      <c r="AJ60" s="51" t="str">
        <f t="shared" si="21"/>
        <v>NA</v>
      </c>
      <c r="AK60" s="51" t="str" cm="1">
        <f t="array" ref="AK60">IFERROR(_xlfn.TEXTJOIN(", ", TRUE, _xlfn.UNIQUE(_xlfn._xlws.FILTER(K$2:K$100, (A$2:A$100 = AF60) * (D$2:D$100 = AG60) * (J$2:J$100 &lt;= 0.05)))), "")</f>
        <v/>
      </c>
      <c r="AL60" s="51" t="str" cm="1">
        <f t="array" ref="AL60">IFERROR(_xlfn.TEXTJOIN(", ", TRUE, _xlfn.UNIQUE(_xlfn._xlws.FILTER(L$2:L$100, (A$2:A$100 = AF60) * (D$2:D$100 = AG60) * (J$2:J$100 &lt;= 0.05)))), "")</f>
        <v/>
      </c>
      <c r="AM60" s="51" t="str">
        <f t="shared" si="22"/>
        <v>OR / RRR</v>
      </c>
      <c r="AP60" s="209"/>
      <c r="AQ60" s="210"/>
      <c r="AR60" s="211"/>
      <c r="AS60" s="212"/>
      <c r="AT60" s="210"/>
      <c r="AU60" s="213"/>
      <c r="AV60" s="213"/>
      <c r="BA60" s="1" t="str" cm="1">
        <f t="array" ref="BA60">INDEX($AZ$1:$AZ$100,INT((ROW(A60)-1)/3)+1)</f>
        <v>Intervention Expenditure</v>
      </c>
      <c r="BB60" s="1" t="str" cm="1">
        <f t="array" ref="BB60">INDEX({"OR","RRR","ME"},MOD(ROW(AB60)-1,3)+1)</f>
        <v>ME</v>
      </c>
      <c r="BD60" s="215"/>
      <c r="BE60" s="216"/>
    </row>
    <row r="61" spans="1:57" ht="45">
      <c r="A61" s="168" t="s">
        <v>1187</v>
      </c>
      <c r="B61" s="110" t="s">
        <v>897</v>
      </c>
      <c r="C61" s="118" t="s">
        <v>1245</v>
      </c>
      <c r="D61" s="142" t="s">
        <v>879</v>
      </c>
      <c r="E61" s="143">
        <f>1/4.17</f>
        <v>0.23980815347721823</v>
      </c>
      <c r="F61" s="143">
        <f>1/11.1</f>
        <v>9.00900900900901E-2</v>
      </c>
      <c r="G61" s="143">
        <f>1/1.56</f>
        <v>0.64102564102564097</v>
      </c>
      <c r="H61" s="143"/>
      <c r="I61" s="143"/>
      <c r="J61" s="118">
        <v>5.0000000000000001E-3</v>
      </c>
      <c r="K61" s="118" t="s">
        <v>365</v>
      </c>
      <c r="L61" s="119" t="s">
        <v>999</v>
      </c>
      <c r="M61" s="71"/>
      <c r="V61" s="44" t="str">
        <f t="shared" si="44"/>
        <v>Intervention Expenditure</v>
      </c>
      <c r="W61" s="51" t="str">
        <f t="shared" si="35"/>
        <v>ME</v>
      </c>
      <c r="X61" s="51">
        <f t="shared" si="36"/>
        <v>-0.01</v>
      </c>
      <c r="Y61" s="51">
        <f t="shared" si="37"/>
        <v>-0.01</v>
      </c>
      <c r="Z61" s="51">
        <f t="shared" si="38"/>
        <v>-0.01</v>
      </c>
      <c r="AA61" s="51" t="str" cm="1">
        <f t="array" ref="AA61">IFERROR(_xlfn.TEXTJOIN(", ", TRUE, _xlfn.UNIQUE(_xlfn._xlws.FILTER(K$2:K$100, (A$2:A$100 = V61) * (D$2:D$100 = W61)))), "")</f>
        <v>Australia</v>
      </c>
      <c r="AB61" s="51" t="str" cm="1">
        <f t="array" ref="AB61">_xlfn.TEXTJOIN(", ", TRUE, _xlfn.UNIQUE(IF((A$2:A$100 = V61) * (D$2:D$100 = W61), L$2:L$100, "")))</f>
        <v>(A. H. Harris et al., 2008)</v>
      </c>
      <c r="AC61" s="51" t="str">
        <f t="shared" si="5"/>
        <v>ME</v>
      </c>
      <c r="AF61" s="44" t="str">
        <f t="shared" si="17"/>
        <v>Intervention Expenditure</v>
      </c>
      <c r="AG61" s="51" t="str">
        <f t="shared" si="18"/>
        <v>ME</v>
      </c>
      <c r="AH61" s="194">
        <f t="shared" si="19"/>
        <v>-0.01</v>
      </c>
      <c r="AI61" s="51">
        <f t="shared" si="20"/>
        <v>-0.01</v>
      </c>
      <c r="AJ61" s="51">
        <f t="shared" si="21"/>
        <v>-0.01</v>
      </c>
      <c r="AK61" s="51" t="str" cm="1">
        <f t="array" ref="AK61">IFERROR(_xlfn.TEXTJOIN(", ", TRUE, _xlfn.UNIQUE(_xlfn._xlws.FILTER(K$2:K$100, (A$2:A$100 = AF61) * (D$2:D$100 = AG61) * (J$2:J$100 &lt;= 0.05)))), "")</f>
        <v>Australia</v>
      </c>
      <c r="AL61" s="51" t="str" cm="1">
        <f t="array" ref="AL61">IFERROR(_xlfn.TEXTJOIN(", ", TRUE, _xlfn.UNIQUE(_xlfn._xlws.FILTER(L$2:L$100, (A$2:A$100 = AF61) * (D$2:D$100 = AG61) * (J$2:J$100 &lt;= 0.05)))), "")</f>
        <v>(A. H. Harris et al., 2008)</v>
      </c>
      <c r="AM61" s="51" t="str">
        <f t="shared" si="22"/>
        <v>ME</v>
      </c>
      <c r="AP61" s="209"/>
      <c r="AQ61" s="210"/>
      <c r="AR61" s="211"/>
      <c r="AS61" s="212"/>
      <c r="AT61" s="210"/>
      <c r="AU61" s="213"/>
      <c r="AV61" s="213"/>
      <c r="BA61" s="1" t="str" cm="1">
        <f t="array" ref="BA61">INDEX($AZ$1:$AZ$100,INT((ROW(A61)-1)/3)+1)</f>
        <v>Patient Population &gt;10k</v>
      </c>
      <c r="BB61" s="1" t="str" cm="1">
        <f t="array" ref="BB61">INDEX({"OR","RRR","ME"},MOD(ROW(AB61)-1,3)+1)</f>
        <v>OR</v>
      </c>
      <c r="BD61" s="215"/>
      <c r="BE61" s="216"/>
    </row>
    <row r="62" spans="1:57" ht="45">
      <c r="A62" s="168" t="s">
        <v>1187</v>
      </c>
      <c r="B62" s="110" t="s">
        <v>897</v>
      </c>
      <c r="C62" s="118" t="s">
        <v>1245</v>
      </c>
      <c r="D62" s="142" t="s">
        <v>879</v>
      </c>
      <c r="E62" s="143">
        <v>0.47</v>
      </c>
      <c r="F62" s="143">
        <v>0.24</v>
      </c>
      <c r="G62" s="143">
        <v>0.93</v>
      </c>
      <c r="H62" s="143"/>
      <c r="I62" s="143"/>
      <c r="J62" s="118">
        <v>0.03</v>
      </c>
      <c r="K62" s="118" t="s">
        <v>365</v>
      </c>
      <c r="L62" s="119" t="s">
        <v>898</v>
      </c>
      <c r="M62" s="71"/>
      <c r="V62" s="44" t="str">
        <f t="shared" si="44"/>
        <v>Patient Population &gt;10k</v>
      </c>
      <c r="W62" s="51" t="str">
        <f t="shared" si="35"/>
        <v>OR</v>
      </c>
      <c r="X62" s="51">
        <f t="shared" si="36"/>
        <v>3.63</v>
      </c>
      <c r="Y62" s="51">
        <f t="shared" si="37"/>
        <v>3.6291555849850208</v>
      </c>
      <c r="Z62" s="51">
        <f t="shared" si="38"/>
        <v>3.6291555849850208</v>
      </c>
      <c r="AA62" s="51" t="str" cm="1">
        <f t="array" ref="AA62">IFERROR(_xlfn.TEXTJOIN(", ", TRUE, _xlfn.UNIQUE(_xlfn._xlws.FILTER(K$2:K$100, (A$2:A$100 = V62) * (D$2:D$100 = W62)))), "")</f>
        <v>Australia</v>
      </c>
      <c r="AB62" s="51" t="str" cm="1">
        <f t="array" ref="AB62">_xlfn.TEXTJOIN(", ", TRUE, _xlfn.UNIQUE(IF((A$2:A$100 = V62) * (D$2:D$100 = W62), L$2:L$100, "")))</f>
        <v>(Haque et al., 2023)</v>
      </c>
      <c r="AC62" s="51" t="str">
        <f t="shared" si="5"/>
        <v>OR / RRR</v>
      </c>
      <c r="AF62" s="44" t="str">
        <f t="shared" si="17"/>
        <v>Patient Population &gt;10k</v>
      </c>
      <c r="AG62" s="51" t="str">
        <f t="shared" si="18"/>
        <v>OR</v>
      </c>
      <c r="AH62" s="194" t="e">
        <f t="shared" si="19"/>
        <v>#VALUE!</v>
      </c>
      <c r="AI62" s="51" t="str">
        <f t="shared" si="20"/>
        <v>NA</v>
      </c>
      <c r="AJ62" s="51" t="str">
        <f t="shared" si="21"/>
        <v>NA</v>
      </c>
      <c r="AK62" s="51" t="str" cm="1">
        <f t="array" ref="AK62">IFERROR(_xlfn.TEXTJOIN(", ", TRUE, _xlfn.UNIQUE(_xlfn._xlws.FILTER(K$2:K$100, (A$2:A$100 = AF62) * (D$2:D$100 = AG62) * (J$2:J$100 &lt;= 0.05)))), "")</f>
        <v/>
      </c>
      <c r="AL62" s="51" t="str" cm="1">
        <f t="array" ref="AL62">IFERROR(_xlfn.TEXTJOIN(", ", TRUE, _xlfn.UNIQUE(_xlfn._xlws.FILTER(L$2:L$100, (A$2:A$100 = AF62) * (D$2:D$100 = AG62) * (J$2:J$100 &lt;= 0.05)))), "")</f>
        <v/>
      </c>
      <c r="AM62" s="51" t="str">
        <f t="shared" si="22"/>
        <v>OR / RRR</v>
      </c>
      <c r="AP62" s="209"/>
      <c r="AQ62" s="210"/>
      <c r="AR62" s="211"/>
      <c r="AS62" s="212"/>
      <c r="AT62" s="210"/>
      <c r="AU62" s="213"/>
      <c r="AV62" s="213"/>
      <c r="BA62" s="1" t="str" cm="1">
        <f t="array" ref="BA62">INDEX($AZ$1:$AZ$100,INT((ROW(A62)-1)/3)+1)</f>
        <v>Patient Population &gt;10k</v>
      </c>
      <c r="BB62" s="1" t="str" cm="1">
        <f t="array" ref="BB62">INDEX({"OR","RRR","ME"},MOD(ROW(AB62)-1,3)+1)</f>
        <v>RRR</v>
      </c>
      <c r="BD62" s="215"/>
      <c r="BE62" s="216"/>
    </row>
    <row r="63" spans="1:57" ht="45">
      <c r="A63" s="168" t="s">
        <v>1187</v>
      </c>
      <c r="B63" s="118" t="s">
        <v>878</v>
      </c>
      <c r="C63" s="141" t="s">
        <v>1246</v>
      </c>
      <c r="D63" s="142" t="s">
        <v>879</v>
      </c>
      <c r="E63" s="143">
        <f>EXP(-0.216)</f>
        <v>0.80573530187347964</v>
      </c>
      <c r="F63" s="143">
        <f>EXP(-3.015)</f>
        <v>4.9045835487016728E-2</v>
      </c>
      <c r="G63" s="143">
        <f>EXP(2.583)</f>
        <v>13.236789020690741</v>
      </c>
      <c r="H63" s="130"/>
      <c r="I63" s="143"/>
      <c r="J63" s="141">
        <v>0.88</v>
      </c>
      <c r="K63" s="141" t="s">
        <v>365</v>
      </c>
      <c r="L63" s="141" t="s">
        <v>895</v>
      </c>
      <c r="M63" s="72"/>
      <c r="V63" s="44" t="str">
        <f t="shared" si="44"/>
        <v>Patient Population &gt;10k</v>
      </c>
      <c r="W63" s="51" t="str">
        <f t="shared" si="35"/>
        <v>RRR</v>
      </c>
      <c r="X63" s="51" t="e">
        <f t="shared" si="36"/>
        <v>#VALUE!</v>
      </c>
      <c r="Y63" s="51" t="str">
        <f t="shared" si="37"/>
        <v>NA</v>
      </c>
      <c r="Z63" s="51" t="str">
        <f t="shared" si="38"/>
        <v>NA</v>
      </c>
      <c r="AA63" s="51" t="str" cm="1">
        <f t="array" ref="AA63">IFERROR(_xlfn.TEXTJOIN(", ", TRUE, _xlfn.UNIQUE(_xlfn._xlws.FILTER(K$2:K$100, (A$2:A$100 = V63) * (D$2:D$100 = W63)))), "")</f>
        <v/>
      </c>
      <c r="AB63" s="51" t="str" cm="1">
        <f t="array" ref="AB63">_xlfn.TEXTJOIN(", ", TRUE, _xlfn.UNIQUE(IF((A$2:A$100 = V63) * (D$2:D$100 = W63), L$2:L$100, "")))</f>
        <v/>
      </c>
      <c r="AC63" s="51" t="str">
        <f t="shared" si="5"/>
        <v>OR / RRR</v>
      </c>
      <c r="AF63" s="44" t="str">
        <f t="shared" si="17"/>
        <v>Patient Population &gt;10k</v>
      </c>
      <c r="AG63" s="51" t="str">
        <f t="shared" si="18"/>
        <v>RRR</v>
      </c>
      <c r="AH63" s="194" t="e">
        <f t="shared" si="19"/>
        <v>#VALUE!</v>
      </c>
      <c r="AI63" s="51" t="str">
        <f t="shared" si="20"/>
        <v>NA</v>
      </c>
      <c r="AJ63" s="51" t="str">
        <f t="shared" si="21"/>
        <v>NA</v>
      </c>
      <c r="AK63" s="51" t="str" cm="1">
        <f t="array" ref="AK63">IFERROR(_xlfn.TEXTJOIN(", ", TRUE, _xlfn.UNIQUE(_xlfn._xlws.FILTER(K$2:K$100, (A$2:A$100 = AF63) * (D$2:D$100 = AG63) * (J$2:J$100 &lt;= 0.05)))), "")</f>
        <v/>
      </c>
      <c r="AL63" s="51" t="str" cm="1">
        <f t="array" ref="AL63">IFERROR(_xlfn.TEXTJOIN(", ", TRUE, _xlfn.UNIQUE(_xlfn._xlws.FILTER(L$2:L$100, (A$2:A$100 = AF63) * (D$2:D$100 = AG63) * (J$2:J$100 &lt;= 0.05)))), "")</f>
        <v/>
      </c>
      <c r="AM63" s="51" t="str">
        <f t="shared" si="22"/>
        <v>OR / RRR</v>
      </c>
      <c r="AP63" s="209"/>
      <c r="AQ63" s="210"/>
      <c r="AR63" s="211"/>
      <c r="AS63" s="212"/>
      <c r="AT63" s="210"/>
      <c r="AU63" s="213"/>
      <c r="AV63" s="213"/>
      <c r="BA63" s="1" t="str" cm="1">
        <f t="array" ref="BA63">INDEX($AZ$1:$AZ$100,INT((ROW(A63)-1)/3)+1)</f>
        <v>Patient Population &gt;10k</v>
      </c>
      <c r="BB63" s="1" t="str" cm="1">
        <f t="array" ref="BB63">INDEX({"OR","RRR","ME"},MOD(ROW(AB63)-1,3)+1)</f>
        <v>ME</v>
      </c>
      <c r="BD63" s="215"/>
      <c r="BE63" s="216"/>
    </row>
    <row r="64" spans="1:57" ht="30">
      <c r="A64" s="167" t="s">
        <v>1247</v>
      </c>
      <c r="B64" s="141" t="s">
        <v>878</v>
      </c>
      <c r="C64" s="141" t="s">
        <v>1247</v>
      </c>
      <c r="D64" s="142" t="s">
        <v>879</v>
      </c>
      <c r="E64" s="143">
        <f>EXP(1.289)</f>
        <v>3.6291555849850208</v>
      </c>
      <c r="F64" s="143">
        <f>EXP(-1.304)</f>
        <v>0.27144384321211973</v>
      </c>
      <c r="G64" s="143">
        <f>EXP(3.882)</f>
        <v>48.521160414515933</v>
      </c>
      <c r="H64" s="143"/>
      <c r="I64" s="143"/>
      <c r="J64" s="141">
        <v>0.33</v>
      </c>
      <c r="K64" s="141" t="s">
        <v>365</v>
      </c>
      <c r="L64" s="141" t="s">
        <v>895</v>
      </c>
      <c r="M64" s="67"/>
      <c r="V64" s="44" t="str">
        <f t="shared" si="44"/>
        <v>Patient Population &gt;10k</v>
      </c>
      <c r="W64" s="51" t="str">
        <f t="shared" si="35"/>
        <v>ME</v>
      </c>
      <c r="X64" s="51" t="e">
        <f t="shared" si="36"/>
        <v>#VALUE!</v>
      </c>
      <c r="Y64" s="51" t="str">
        <f t="shared" si="37"/>
        <v>NA</v>
      </c>
      <c r="Z64" s="51" t="str">
        <f t="shared" si="38"/>
        <v>NA</v>
      </c>
      <c r="AA64" s="51" t="str" cm="1">
        <f t="array" ref="AA64">IFERROR(_xlfn.TEXTJOIN(", ", TRUE, _xlfn.UNIQUE(_xlfn._xlws.FILTER(K$2:K$100, (A$2:A$100 = V64) * (D$2:D$100 = W64)))), "")</f>
        <v/>
      </c>
      <c r="AB64" s="51" t="str" cm="1">
        <f t="array" ref="AB64">_xlfn.TEXTJOIN(", ", TRUE, _xlfn.UNIQUE(IF((A$2:A$100 = V64) * (D$2:D$100 = W64), L$2:L$100, "")))</f>
        <v/>
      </c>
      <c r="AC64" s="51" t="str">
        <f t="shared" si="5"/>
        <v>ME</v>
      </c>
      <c r="AF64" s="44" t="str">
        <f t="shared" si="17"/>
        <v>Patient Population &gt;10k</v>
      </c>
      <c r="AG64" s="51" t="str">
        <f t="shared" si="18"/>
        <v>ME</v>
      </c>
      <c r="AH64" s="194" t="e">
        <f t="shared" si="19"/>
        <v>#VALUE!</v>
      </c>
      <c r="AI64" s="51" t="str">
        <f t="shared" si="20"/>
        <v>NA</v>
      </c>
      <c r="AJ64" s="51" t="str">
        <f t="shared" si="21"/>
        <v>NA</v>
      </c>
      <c r="AK64" s="51" t="str" cm="1">
        <f t="array" ref="AK64">IFERROR(_xlfn.TEXTJOIN(", ", TRUE, _xlfn.UNIQUE(_xlfn._xlws.FILTER(K$2:K$100, (A$2:A$100 = AF64) * (D$2:D$100 = AG64) * (J$2:J$100 &lt;= 0.05)))), "")</f>
        <v/>
      </c>
      <c r="AL64" s="51" t="str" cm="1">
        <f t="array" ref="AL64">IFERROR(_xlfn.TEXTJOIN(", ", TRUE, _xlfn.UNIQUE(_xlfn._xlws.FILTER(L$2:L$100, (A$2:A$100 = AF64) * (D$2:D$100 = AG64) * (J$2:J$100 &lt;= 0.05)))), "")</f>
        <v/>
      </c>
      <c r="AM64" s="51" t="str">
        <f t="shared" si="22"/>
        <v>ME</v>
      </c>
      <c r="AP64" s="209"/>
      <c r="AQ64" s="210"/>
      <c r="AR64" s="211"/>
      <c r="AS64" s="212"/>
      <c r="AT64" s="210"/>
      <c r="AU64" s="213"/>
      <c r="AV64" s="213"/>
      <c r="BA64" s="1" t="str" cm="1">
        <f t="array" ref="BA64">INDEX($AZ$1:$AZ$100,INT((ROW(A64)-1)/3)+1)</f>
        <v>Risk Sharing Agreement</v>
      </c>
      <c r="BB64" s="1" t="str" cm="1">
        <f t="array" ref="BB64">INDEX({"OR","RRR","ME"},MOD(ROW(AB64)-1,3)+1)</f>
        <v>OR</v>
      </c>
      <c r="BD64" s="215"/>
      <c r="BE64" s="216"/>
    </row>
    <row r="65" spans="1:57" ht="30">
      <c r="A65" s="168" t="s">
        <v>1248</v>
      </c>
      <c r="B65" s="118" t="s">
        <v>1065</v>
      </c>
      <c r="C65" s="118" t="s">
        <v>1248</v>
      </c>
      <c r="D65" s="142" t="s">
        <v>879</v>
      </c>
      <c r="E65" s="143">
        <v>3.49</v>
      </c>
      <c r="F65" s="143">
        <v>1.56</v>
      </c>
      <c r="G65" s="143">
        <v>7.82</v>
      </c>
      <c r="H65" s="143"/>
      <c r="I65" s="143"/>
      <c r="J65" s="118">
        <v>3.0000000000000001E-3</v>
      </c>
      <c r="K65" s="118" t="s">
        <v>486</v>
      </c>
      <c r="L65" s="119" t="s">
        <v>1066</v>
      </c>
      <c r="M65" s="65"/>
      <c r="V65" s="44" t="str">
        <f t="shared" si="44"/>
        <v>Risk Sharing Agreement</v>
      </c>
      <c r="W65" s="51" t="str">
        <f t="shared" si="35"/>
        <v>OR</v>
      </c>
      <c r="X65" s="51">
        <f t="shared" si="36"/>
        <v>3.49</v>
      </c>
      <c r="Y65" s="51">
        <f t="shared" si="37"/>
        <v>3.49</v>
      </c>
      <c r="Z65" s="51">
        <f t="shared" si="38"/>
        <v>3.49</v>
      </c>
      <c r="AA65" s="51" t="str" cm="1">
        <f t="array" ref="AA65">IFERROR(_xlfn.TEXTJOIN(", ", TRUE, _xlfn.UNIQUE(_xlfn._xlws.FILTER(K$2:K$100, (A$2:A$100 = V65) * (D$2:D$100 = W65)))), "")</f>
        <v>Hungary</v>
      </c>
      <c r="AB65" s="51" t="str" cm="1">
        <f t="array" ref="AB65">_xlfn.TEXTJOIN(", ", TRUE, _xlfn.UNIQUE(IF((A$2:A$100 = V65) * (D$2:D$100 = W65), L$2:L$100, "")))</f>
        <v>(Merész &amp; Gaál, 2023)</v>
      </c>
      <c r="AC65" s="51" t="str">
        <f t="shared" si="5"/>
        <v>OR / RRR</v>
      </c>
      <c r="AF65" s="44" t="str">
        <f t="shared" si="17"/>
        <v>Risk Sharing Agreement</v>
      </c>
      <c r="AG65" s="51" t="str">
        <f t="shared" si="18"/>
        <v>OR</v>
      </c>
      <c r="AH65" s="194">
        <f t="shared" si="19"/>
        <v>3.49</v>
      </c>
      <c r="AI65" s="51">
        <f t="shared" si="20"/>
        <v>3.49</v>
      </c>
      <c r="AJ65" s="51">
        <f t="shared" si="21"/>
        <v>3.49</v>
      </c>
      <c r="AK65" s="51" t="str" cm="1">
        <f t="array" ref="AK65">IFERROR(_xlfn.TEXTJOIN(", ", TRUE, _xlfn.UNIQUE(_xlfn._xlws.FILTER(K$2:K$100, (A$2:A$100 = AF65) * (D$2:D$100 = AG65) * (J$2:J$100 &lt;= 0.05)))), "")</f>
        <v>Hungary</v>
      </c>
      <c r="AL65" s="51" t="str" cm="1">
        <f t="array" ref="AL65">IFERROR(_xlfn.TEXTJOIN(", ", TRUE, _xlfn.UNIQUE(_xlfn._xlws.FILTER(L$2:L$100, (A$2:A$100 = AF65) * (D$2:D$100 = AG65) * (J$2:J$100 &lt;= 0.05)))), "")</f>
        <v>(Merész &amp; Gaál, 2023)</v>
      </c>
      <c r="AM65" s="51" t="str">
        <f t="shared" si="22"/>
        <v>OR / RRR</v>
      </c>
      <c r="AP65" s="209"/>
      <c r="AQ65" s="210"/>
      <c r="AR65" s="211"/>
      <c r="AS65" s="212"/>
      <c r="AT65" s="210"/>
      <c r="AU65" s="213"/>
      <c r="AV65" s="213"/>
      <c r="BA65" s="1" t="str" cm="1">
        <f t="array" ref="BA65">INDEX($AZ$1:$AZ$100,INT((ROW(A65)-1)/3)+1)</f>
        <v>Risk Sharing Agreement</v>
      </c>
      <c r="BB65" s="1" t="str" cm="1">
        <f t="array" ref="BB65">INDEX({"OR","RRR","ME"},MOD(ROW(AB65)-1,3)+1)</f>
        <v>RRR</v>
      </c>
      <c r="BD65" s="215"/>
      <c r="BE65" s="216"/>
    </row>
    <row r="66" spans="1:57" ht="45">
      <c r="A66" s="168" t="s">
        <v>1249</v>
      </c>
      <c r="B66" s="118" t="s">
        <v>878</v>
      </c>
      <c r="C66" s="118" t="s">
        <v>1249</v>
      </c>
      <c r="D66" s="142" t="s">
        <v>879</v>
      </c>
      <c r="E66" s="143">
        <v>0.443</v>
      </c>
      <c r="F66" s="143">
        <v>0.155</v>
      </c>
      <c r="G66" s="143">
        <v>1.2709999999999999</v>
      </c>
      <c r="H66" s="143"/>
      <c r="I66" s="143"/>
      <c r="J66" s="118" t="s">
        <v>886</v>
      </c>
      <c r="K66" s="118" t="s">
        <v>840</v>
      </c>
      <c r="L66" s="119" t="s">
        <v>889</v>
      </c>
      <c r="M66" s="65"/>
      <c r="V66" s="44" t="str">
        <f t="shared" si="44"/>
        <v>Risk Sharing Agreement</v>
      </c>
      <c r="W66" s="51" t="str">
        <f t="shared" si="35"/>
        <v>RRR</v>
      </c>
      <c r="X66" s="51" t="e">
        <f t="shared" si="36"/>
        <v>#VALUE!</v>
      </c>
      <c r="Y66" s="51" t="str">
        <f t="shared" si="37"/>
        <v>NA</v>
      </c>
      <c r="Z66" s="51" t="str">
        <f t="shared" si="38"/>
        <v>NA</v>
      </c>
      <c r="AA66" s="51" t="str" cm="1">
        <f t="array" ref="AA66">IFERROR(_xlfn.TEXTJOIN(", ", TRUE, _xlfn.UNIQUE(_xlfn._xlws.FILTER(K$2:K$100, (A$2:A$100 = V66) * (D$2:D$100 = W66)))), "")</f>
        <v/>
      </c>
      <c r="AB66" s="51" t="str" cm="1">
        <f t="array" ref="AB66">_xlfn.TEXTJOIN(", ", TRUE, _xlfn.UNIQUE(IF((A$2:A$100 = V66) * (D$2:D$100 = W66), L$2:L$100, "")))</f>
        <v/>
      </c>
      <c r="AC66" s="51" t="str">
        <f t="shared" si="5"/>
        <v>OR / RRR</v>
      </c>
      <c r="AF66" s="44" t="str">
        <f t="shared" si="17"/>
        <v>Risk Sharing Agreement</v>
      </c>
      <c r="AG66" s="51" t="str">
        <f t="shared" si="18"/>
        <v>RRR</v>
      </c>
      <c r="AH66" s="194" t="e">
        <f t="shared" si="19"/>
        <v>#VALUE!</v>
      </c>
      <c r="AI66" s="51" t="str">
        <f t="shared" si="20"/>
        <v>NA</v>
      </c>
      <c r="AJ66" s="51" t="str">
        <f t="shared" si="21"/>
        <v>NA</v>
      </c>
      <c r="AK66" s="51" t="str" cm="1">
        <f t="array" ref="AK66">IFERROR(_xlfn.TEXTJOIN(", ", TRUE, _xlfn.UNIQUE(_xlfn._xlws.FILTER(K$2:K$100, (A$2:A$100 = AF66) * (D$2:D$100 = AG66) * (J$2:J$100 &lt;= 0.05)))), "")</f>
        <v/>
      </c>
      <c r="AL66" s="51" t="str" cm="1">
        <f t="array" ref="AL66">IFERROR(_xlfn.TEXTJOIN(", ", TRUE, _xlfn.UNIQUE(_xlfn._xlws.FILTER(L$2:L$100, (A$2:A$100 = AF66) * (D$2:D$100 = AG66) * (J$2:J$100 &lt;= 0.05)))), "")</f>
        <v/>
      </c>
      <c r="AM66" s="51" t="str">
        <f t="shared" si="22"/>
        <v>OR / RRR</v>
      </c>
      <c r="AP66" s="209"/>
      <c r="AQ66" s="210"/>
      <c r="AR66" s="211"/>
      <c r="AS66" s="212"/>
      <c r="AT66" s="210"/>
      <c r="AU66" s="213"/>
      <c r="AV66" s="213"/>
      <c r="BA66" s="1" t="str" cm="1">
        <f t="array" ref="BA66">INDEX($AZ$1:$AZ$100,INT((ROW(A66)-1)/3)+1)</f>
        <v>Risk Sharing Agreement</v>
      </c>
      <c r="BB66" s="1" t="str" cm="1">
        <f t="array" ref="BB66">INDEX({"OR","RRR","ME"},MOD(ROW(AB66)-1,3)+1)</f>
        <v>ME</v>
      </c>
      <c r="BD66" s="215"/>
      <c r="BE66" s="216"/>
    </row>
    <row r="67" spans="1:57" ht="30">
      <c r="A67" s="168" t="s">
        <v>1249</v>
      </c>
      <c r="B67" s="118" t="s">
        <v>878</v>
      </c>
      <c r="C67" s="118" t="s">
        <v>1249</v>
      </c>
      <c r="D67" s="142" t="s">
        <v>879</v>
      </c>
      <c r="E67" s="143">
        <v>4.1150000000000002</v>
      </c>
      <c r="F67" s="143">
        <v>0.84770000000000001</v>
      </c>
      <c r="G67" s="143">
        <v>9.98</v>
      </c>
      <c r="H67" s="143"/>
      <c r="I67" s="143"/>
      <c r="J67" s="118">
        <v>7.9299999999999995E-2</v>
      </c>
      <c r="K67" s="118" t="s">
        <v>289</v>
      </c>
      <c r="L67" s="119" t="s">
        <v>881</v>
      </c>
      <c r="M67" s="65"/>
      <c r="V67" s="44" t="str">
        <f t="shared" si="44"/>
        <v>Risk Sharing Agreement</v>
      </c>
      <c r="W67" s="51" t="str">
        <f t="shared" si="35"/>
        <v>ME</v>
      </c>
      <c r="X67" s="51" t="e">
        <f t="shared" si="36"/>
        <v>#VALUE!</v>
      </c>
      <c r="Y67" s="51" t="str">
        <f t="shared" si="37"/>
        <v>NA</v>
      </c>
      <c r="Z67" s="51" t="str">
        <f t="shared" si="38"/>
        <v>NA</v>
      </c>
      <c r="AA67" s="51" t="str" cm="1">
        <f t="array" ref="AA67">IFERROR(_xlfn.TEXTJOIN(", ", TRUE, _xlfn.UNIQUE(_xlfn._xlws.FILTER(K$2:K$100, (A$2:A$100 = V67) * (D$2:D$100 = W67)))), "")</f>
        <v/>
      </c>
      <c r="AB67" s="51" t="str" cm="1">
        <f t="array" ref="AB67">_xlfn.TEXTJOIN(", ", TRUE, _xlfn.UNIQUE(IF((A$2:A$100 = V67) * (D$2:D$100 = W67), L$2:L$100, "")))</f>
        <v/>
      </c>
      <c r="AC67" s="51" t="str">
        <f t="shared" ref="AC67" si="45">IF(OR(W67="OR", W67="RRR"), "OR / RRR", W67)</f>
        <v>ME</v>
      </c>
      <c r="AF67" s="44" t="str">
        <f t="shared" si="17"/>
        <v>Risk Sharing Agreement</v>
      </c>
      <c r="AG67" s="51" t="str">
        <f t="shared" si="18"/>
        <v>ME</v>
      </c>
      <c r="AH67" s="194" t="e">
        <f t="shared" si="19"/>
        <v>#VALUE!</v>
      </c>
      <c r="AI67" s="51" t="str">
        <f t="shared" si="20"/>
        <v>NA</v>
      </c>
      <c r="AJ67" s="51" t="str">
        <f t="shared" si="21"/>
        <v>NA</v>
      </c>
      <c r="AK67" s="51" t="str" cm="1">
        <f t="array" ref="AK67">IFERROR(_xlfn.TEXTJOIN(", ", TRUE, _xlfn.UNIQUE(_xlfn._xlws.FILTER(K$2:K$100, (A$2:A$100 = AF67) * (D$2:D$100 = AG67) * (J$2:J$100 &lt;= 0.05)))), "")</f>
        <v/>
      </c>
      <c r="AL67" s="51" t="str" cm="1">
        <f t="array" ref="AL67">IFERROR(_xlfn.TEXTJOIN(", ", TRUE, _xlfn.UNIQUE(_xlfn._xlws.FILTER(L$2:L$100, (A$2:A$100 = AF67) * (D$2:D$100 = AG67) * (J$2:J$100 &lt;= 0.05)))), "")</f>
        <v/>
      </c>
      <c r="AM67" s="51" t="str">
        <f t="shared" si="22"/>
        <v>ME</v>
      </c>
      <c r="AP67" s="209"/>
      <c r="AQ67" s="210"/>
      <c r="AR67" s="211"/>
      <c r="AS67" s="212"/>
      <c r="AT67" s="210"/>
      <c r="AU67" s="213"/>
      <c r="AV67" s="213"/>
      <c r="BA67" s="1"/>
    </row>
    <row r="68" spans="1:57" ht="45">
      <c r="A68" s="168" t="s">
        <v>1250</v>
      </c>
      <c r="B68" s="118" t="s">
        <v>949</v>
      </c>
      <c r="C68" s="118" t="s">
        <v>1250</v>
      </c>
      <c r="D68" s="142" t="s">
        <v>891</v>
      </c>
      <c r="E68" s="143">
        <f>1/EXP(-0.000000016)</f>
        <v>1.0000000160000002</v>
      </c>
      <c r="F68" s="143">
        <f>1/EXP(-0.0000014)</f>
        <v>1.00000140000098</v>
      </c>
      <c r="G68" s="143">
        <f>1/EXP(-0.0000014)</f>
        <v>1.00000140000098</v>
      </c>
      <c r="H68" s="143"/>
      <c r="I68" s="143"/>
      <c r="J68" s="118">
        <v>0.98199999999999998</v>
      </c>
      <c r="K68" s="118" t="s">
        <v>152</v>
      </c>
      <c r="L68" s="119" t="s">
        <v>950</v>
      </c>
      <c r="M68" s="65"/>
      <c r="V68" s="209">
        <f t="shared" si="44"/>
        <v>0</v>
      </c>
      <c r="W68" s="213">
        <f>BB67</f>
        <v>0</v>
      </c>
      <c r="X68" s="214"/>
      <c r="Y68" s="214"/>
      <c r="Z68" s="214"/>
      <c r="AA68" s="214"/>
      <c r="AB68" s="214"/>
      <c r="AC68" s="213"/>
      <c r="AF68" s="209"/>
      <c r="AG68" s="213"/>
      <c r="AH68" s="211"/>
      <c r="AI68" s="213"/>
      <c r="AJ68" s="213"/>
      <c r="AK68" s="213"/>
      <c r="AL68" s="213"/>
      <c r="AM68" s="213"/>
      <c r="AP68" s="214"/>
      <c r="AQ68" s="214"/>
      <c r="AR68" s="214"/>
      <c r="AS68" s="214"/>
      <c r="AT68" s="214"/>
      <c r="AU68" s="214"/>
      <c r="AV68" s="214"/>
      <c r="BA68" s="1"/>
    </row>
    <row r="69" spans="1:57" ht="45">
      <c r="A69" s="167" t="s">
        <v>1216</v>
      </c>
      <c r="B69" s="141" t="s">
        <v>907</v>
      </c>
      <c r="C69" s="118" t="s">
        <v>1217</v>
      </c>
      <c r="D69" s="142" t="s">
        <v>894</v>
      </c>
      <c r="E69" s="143">
        <v>0.02</v>
      </c>
      <c r="F69" s="143">
        <v>-0.08</v>
      </c>
      <c r="G69" s="143">
        <v>0.12</v>
      </c>
      <c r="H69" s="142"/>
      <c r="I69" s="142"/>
      <c r="J69" s="118">
        <v>0.72</v>
      </c>
      <c r="K69" s="142" t="s">
        <v>365</v>
      </c>
      <c r="L69" s="110" t="s">
        <v>1120</v>
      </c>
      <c r="V69" s="209">
        <f t="shared" si="44"/>
        <v>0</v>
      </c>
      <c r="W69" s="213">
        <f>BB68</f>
        <v>0</v>
      </c>
      <c r="X69" s="214"/>
      <c r="Y69" s="214"/>
      <c r="Z69" s="214"/>
      <c r="AA69" s="214"/>
      <c r="AB69" s="214"/>
      <c r="AC69" s="213"/>
      <c r="AF69" s="209"/>
      <c r="AG69" s="213"/>
      <c r="AH69" s="211"/>
      <c r="AI69" s="213"/>
      <c r="AJ69" s="213"/>
      <c r="AK69" s="213"/>
      <c r="AL69" s="213"/>
      <c r="AM69" s="213"/>
      <c r="AP69" s="214"/>
      <c r="AQ69" s="214"/>
      <c r="AR69" s="214"/>
      <c r="AS69" s="214"/>
      <c r="AT69" s="214"/>
      <c r="AU69" s="214"/>
      <c r="AV69" s="214"/>
      <c r="BA69" s="1"/>
    </row>
    <row r="70" spans="1:57">
      <c r="V70" s="209">
        <f>BA69</f>
        <v>0</v>
      </c>
      <c r="W70" s="213">
        <f>BB69</f>
        <v>0</v>
      </c>
      <c r="X70" s="214"/>
      <c r="Y70" s="214"/>
      <c r="Z70" s="214"/>
      <c r="AA70" s="214"/>
      <c r="AB70" s="214"/>
      <c r="AC70" s="213"/>
      <c r="AF70" s="209"/>
      <c r="AG70" s="213"/>
      <c r="AH70" s="211"/>
      <c r="AI70" s="213"/>
      <c r="AJ70" s="213"/>
      <c r="AK70" s="213"/>
      <c r="AL70" s="213"/>
      <c r="AM70" s="213"/>
      <c r="AP70" s="214"/>
      <c r="AQ70" s="214"/>
      <c r="AR70" s="214"/>
      <c r="AS70" s="214"/>
      <c r="AT70" s="214"/>
      <c r="AU70" s="214"/>
      <c r="AV70" s="214"/>
      <c r="BA70" s="1"/>
    </row>
    <row r="71" spans="1:57">
      <c r="V71" s="209">
        <f t="shared" ref="V71:V84" si="46">BA70</f>
        <v>0</v>
      </c>
      <c r="W71" s="213">
        <f t="shared" ref="W71:W84" si="47">BB70</f>
        <v>0</v>
      </c>
      <c r="X71" s="214"/>
      <c r="Y71" s="214"/>
      <c r="Z71" s="214"/>
      <c r="AA71" s="214"/>
      <c r="AB71" s="214"/>
      <c r="AC71" s="213"/>
      <c r="AF71" s="209"/>
      <c r="AG71" s="213"/>
      <c r="AH71" s="211"/>
      <c r="AI71" s="213"/>
      <c r="AJ71" s="213"/>
      <c r="AK71" s="213"/>
      <c r="AL71" s="213"/>
      <c r="AM71" s="213"/>
      <c r="AP71" s="214"/>
      <c r="AQ71" s="214"/>
      <c r="AR71" s="214"/>
      <c r="AS71" s="214"/>
      <c r="AT71" s="214"/>
      <c r="AU71" s="214"/>
      <c r="AV71" s="214"/>
      <c r="BA71" s="1"/>
    </row>
    <row r="72" spans="1:57">
      <c r="V72" s="209">
        <f t="shared" si="46"/>
        <v>0</v>
      </c>
      <c r="W72" s="213">
        <f t="shared" si="47"/>
        <v>0</v>
      </c>
      <c r="X72" s="214"/>
      <c r="Y72" s="214"/>
      <c r="Z72" s="214"/>
      <c r="AA72" s="214"/>
      <c r="AB72" s="214"/>
      <c r="AC72" s="213"/>
      <c r="AF72" s="209"/>
      <c r="AG72" s="213"/>
      <c r="AH72" s="211"/>
      <c r="AI72" s="213"/>
      <c r="AJ72" s="213"/>
      <c r="AK72" s="213"/>
      <c r="AL72" s="213"/>
      <c r="AM72" s="213"/>
      <c r="AP72" s="214"/>
      <c r="AQ72" s="214"/>
      <c r="AR72" s="214"/>
      <c r="AS72" s="214"/>
      <c r="AT72" s="214"/>
      <c r="AU72" s="214"/>
      <c r="AV72" s="214"/>
      <c r="BA72" s="1"/>
    </row>
    <row r="73" spans="1:57">
      <c r="V73" s="209">
        <f t="shared" si="46"/>
        <v>0</v>
      </c>
      <c r="W73" s="213">
        <f t="shared" si="47"/>
        <v>0</v>
      </c>
      <c r="X73" s="214"/>
      <c r="Y73" s="214"/>
      <c r="Z73" s="214"/>
      <c r="AA73" s="214"/>
      <c r="AB73" s="214"/>
      <c r="AC73" s="213"/>
      <c r="AF73" s="209"/>
      <c r="AG73" s="213"/>
      <c r="AH73" s="211"/>
      <c r="AI73" s="213"/>
      <c r="AJ73" s="213"/>
      <c r="AK73" s="213"/>
      <c r="AL73" s="213"/>
      <c r="AM73" s="213"/>
      <c r="AP73" s="214"/>
      <c r="AQ73" s="214"/>
      <c r="AR73" s="214"/>
      <c r="AS73" s="214"/>
      <c r="AT73" s="214"/>
      <c r="AU73" s="214"/>
      <c r="AV73" s="214"/>
      <c r="BA73" s="1"/>
    </row>
    <row r="74" spans="1:57">
      <c r="V74" s="209">
        <f t="shared" si="46"/>
        <v>0</v>
      </c>
      <c r="W74" s="213">
        <f t="shared" si="47"/>
        <v>0</v>
      </c>
      <c r="X74" s="214"/>
      <c r="Y74" s="214"/>
      <c r="Z74" s="214"/>
      <c r="AA74" s="214"/>
      <c r="AB74" s="214"/>
      <c r="AC74" s="213"/>
      <c r="AF74" s="209"/>
      <c r="AG74" s="213"/>
      <c r="AH74" s="211"/>
      <c r="AI74" s="213"/>
      <c r="AJ74" s="213"/>
      <c r="AK74" s="213"/>
      <c r="AL74" s="213"/>
      <c r="AM74" s="213"/>
      <c r="AP74" s="214"/>
      <c r="AQ74" s="214"/>
      <c r="AR74" s="214"/>
      <c r="AS74" s="214"/>
      <c r="AT74" s="214"/>
      <c r="AU74" s="214"/>
      <c r="AV74" s="214"/>
      <c r="BA74" s="1"/>
    </row>
    <row r="75" spans="1:57">
      <c r="V75" s="209">
        <f t="shared" si="46"/>
        <v>0</v>
      </c>
      <c r="W75" s="213">
        <f t="shared" si="47"/>
        <v>0</v>
      </c>
      <c r="X75" s="214"/>
      <c r="Y75" s="214"/>
      <c r="Z75" s="214"/>
      <c r="AA75" s="214"/>
      <c r="AB75" s="214"/>
      <c r="AC75" s="213"/>
      <c r="AF75" s="209"/>
      <c r="AG75" s="213"/>
      <c r="AH75" s="211"/>
      <c r="AI75" s="213"/>
      <c r="AJ75" s="213"/>
      <c r="AK75" s="213"/>
      <c r="AL75" s="213"/>
      <c r="AM75" s="213"/>
      <c r="AP75" s="214"/>
      <c r="AQ75" s="214"/>
      <c r="AR75" s="214"/>
      <c r="AS75" s="214"/>
      <c r="AT75" s="214"/>
      <c r="AU75" s="214"/>
      <c r="AV75" s="214"/>
      <c r="BA75" s="1"/>
    </row>
    <row r="76" spans="1:57">
      <c r="V76" s="209">
        <f t="shared" si="46"/>
        <v>0</v>
      </c>
      <c r="W76" s="213">
        <f t="shared" si="47"/>
        <v>0</v>
      </c>
      <c r="X76" s="214"/>
      <c r="Y76" s="214"/>
      <c r="Z76" s="214"/>
      <c r="AA76" s="214"/>
      <c r="AB76" s="214"/>
      <c r="AC76" s="213"/>
      <c r="AF76" s="209"/>
      <c r="AG76" s="213"/>
      <c r="AH76" s="211"/>
      <c r="AI76" s="213"/>
      <c r="AJ76" s="213"/>
      <c r="AK76" s="213"/>
      <c r="AL76" s="213"/>
      <c r="AM76" s="213"/>
      <c r="AP76" s="214"/>
      <c r="AQ76" s="214"/>
      <c r="AR76" s="214"/>
      <c r="AS76" s="214"/>
      <c r="AT76" s="214"/>
      <c r="AU76" s="214"/>
      <c r="AV76" s="214"/>
      <c r="BA76" s="1"/>
    </row>
    <row r="77" spans="1:57">
      <c r="V77" s="209">
        <f t="shared" si="46"/>
        <v>0</v>
      </c>
      <c r="W77" s="213">
        <f t="shared" si="47"/>
        <v>0</v>
      </c>
      <c r="X77" s="214"/>
      <c r="Y77" s="214"/>
      <c r="Z77" s="214"/>
      <c r="AA77" s="214"/>
      <c r="AB77" s="214"/>
      <c r="AC77" s="213"/>
      <c r="AF77" s="209"/>
      <c r="AG77" s="213"/>
      <c r="AH77" s="211"/>
      <c r="AI77" s="213"/>
      <c r="AJ77" s="213"/>
      <c r="AK77" s="213"/>
      <c r="AL77" s="213"/>
      <c r="AM77" s="213"/>
      <c r="AP77" s="214"/>
      <c r="AQ77" s="214"/>
      <c r="AR77" s="214"/>
      <c r="AS77" s="214"/>
      <c r="AT77" s="214"/>
      <c r="AU77" s="214"/>
      <c r="AV77" s="214"/>
      <c r="BA77" s="1"/>
    </row>
    <row r="78" spans="1:57">
      <c r="V78" s="209">
        <f t="shared" si="46"/>
        <v>0</v>
      </c>
      <c r="W78" s="213">
        <f t="shared" si="47"/>
        <v>0</v>
      </c>
      <c r="X78" s="214"/>
      <c r="Y78" s="214"/>
      <c r="Z78" s="214"/>
      <c r="AA78" s="214"/>
      <c r="AB78" s="214"/>
      <c r="AC78" s="213"/>
      <c r="BA78" s="1"/>
    </row>
    <row r="79" spans="1:57">
      <c r="V79" s="209">
        <f t="shared" si="46"/>
        <v>0</v>
      </c>
      <c r="W79" s="213">
        <f t="shared" si="47"/>
        <v>0</v>
      </c>
      <c r="X79" s="214"/>
      <c r="Y79" s="214"/>
      <c r="Z79" s="214"/>
      <c r="AA79" s="214"/>
      <c r="AB79" s="214"/>
      <c r="AC79" s="213"/>
      <c r="BA79" s="1"/>
    </row>
    <row r="80" spans="1:57">
      <c r="V80" s="209">
        <f t="shared" si="46"/>
        <v>0</v>
      </c>
      <c r="W80" s="213">
        <f t="shared" si="47"/>
        <v>0</v>
      </c>
      <c r="X80" s="214"/>
      <c r="Y80" s="214"/>
      <c r="Z80" s="214"/>
      <c r="AA80" s="214"/>
      <c r="AB80" s="214"/>
      <c r="AC80" s="213"/>
      <c r="BA80" s="1"/>
    </row>
    <row r="81" spans="22:53">
      <c r="V81" s="209">
        <f t="shared" si="46"/>
        <v>0</v>
      </c>
      <c r="W81" s="213">
        <f t="shared" si="47"/>
        <v>0</v>
      </c>
      <c r="X81" s="214"/>
      <c r="Y81" s="214"/>
      <c r="Z81" s="214"/>
      <c r="AA81" s="214"/>
      <c r="AB81" s="214"/>
      <c r="AC81" s="213"/>
      <c r="BA81" s="1"/>
    </row>
    <row r="82" spans="22:53">
      <c r="V82" s="209">
        <f t="shared" si="46"/>
        <v>0</v>
      </c>
      <c r="W82" s="213">
        <f t="shared" si="47"/>
        <v>0</v>
      </c>
      <c r="X82" s="214"/>
      <c r="Y82" s="214"/>
      <c r="Z82" s="214"/>
      <c r="AA82" s="214"/>
      <c r="AB82" s="214"/>
      <c r="AC82" s="213"/>
      <c r="BA82" s="1"/>
    </row>
    <row r="83" spans="22:53">
      <c r="V83" s="209">
        <f t="shared" si="46"/>
        <v>0</v>
      </c>
      <c r="W83" s="213">
        <f t="shared" si="47"/>
        <v>0</v>
      </c>
      <c r="X83" s="214"/>
      <c r="Y83" s="214"/>
      <c r="Z83" s="214"/>
      <c r="AA83" s="214"/>
      <c r="AB83" s="214"/>
      <c r="AC83" s="213"/>
      <c r="BA83" s="1"/>
    </row>
    <row r="84" spans="22:53">
      <c r="V84" s="209">
        <f t="shared" si="46"/>
        <v>0</v>
      </c>
      <c r="W84" s="213">
        <f t="shared" si="47"/>
        <v>0</v>
      </c>
      <c r="X84" s="214"/>
      <c r="Y84" s="214"/>
      <c r="Z84" s="214"/>
      <c r="AA84" s="214"/>
      <c r="AB84" s="214"/>
      <c r="AC84" s="213"/>
      <c r="BA84" s="1"/>
    </row>
    <row r="85" spans="22:53">
      <c r="BA85" s="1"/>
    </row>
    <row r="86" spans="22:53">
      <c r="BA86" s="1"/>
    </row>
  </sheetData>
  <autoFilter ref="AO1:AV45" xr:uid="{98F4B75F-997C-495D-A2A2-7CF40BDDC3F0}"/>
  <sortState xmlns:xlrd2="http://schemas.microsoft.com/office/spreadsheetml/2017/richdata2" ref="C2:L63">
    <sortCondition ref="C1:C63"/>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248F-DB54-4426-BCAD-4D68893DA72A}">
  <sheetPr codeName="Sheet11"/>
  <dimension ref="A1:G36"/>
  <sheetViews>
    <sheetView topLeftCell="A16" workbookViewId="0">
      <selection activeCell="C4" sqref="C4"/>
    </sheetView>
  </sheetViews>
  <sheetFormatPr defaultRowHeight="15"/>
  <cols>
    <col min="4" max="4" width="11.42578125" customWidth="1"/>
    <col min="6" max="6" width="12" customWidth="1"/>
  </cols>
  <sheetData>
    <row r="1" spans="1:7">
      <c r="A1" s="6"/>
      <c r="B1" s="6" t="s">
        <v>840</v>
      </c>
      <c r="C1" s="6" t="s">
        <v>319</v>
      </c>
      <c r="D1" s="6" t="s">
        <v>365</v>
      </c>
      <c r="E1" s="6" t="s">
        <v>122</v>
      </c>
      <c r="F1" s="6" t="s">
        <v>182</v>
      </c>
      <c r="G1" s="6" t="s">
        <v>152</v>
      </c>
    </row>
    <row r="2" spans="1:7">
      <c r="A2" s="6">
        <v>1990</v>
      </c>
      <c r="B2">
        <v>0.630602</v>
      </c>
      <c r="C2">
        <v>0.78433299999999995</v>
      </c>
      <c r="D2">
        <v>1.3644149999999999</v>
      </c>
      <c r="E2">
        <v>8.8715080000000004</v>
      </c>
      <c r="F2">
        <v>559.92018099999996</v>
      </c>
      <c r="G2">
        <v>0.918099</v>
      </c>
    </row>
    <row r="3" spans="1:7">
      <c r="A3" s="6">
        <v>1991</v>
      </c>
      <c r="B3">
        <v>0.64912899999999996</v>
      </c>
      <c r="C3">
        <v>0.772343</v>
      </c>
      <c r="D3">
        <v>1.3472770000000001</v>
      </c>
      <c r="E3">
        <v>9.2889909999999993</v>
      </c>
      <c r="F3">
        <v>591.11264700000004</v>
      </c>
      <c r="G3">
        <v>0.91574900000000004</v>
      </c>
    </row>
    <row r="4" spans="1:7">
      <c r="A4" s="6">
        <v>1992</v>
      </c>
      <c r="B4">
        <v>0.65574200000000005</v>
      </c>
      <c r="C4">
        <v>0.77637</v>
      </c>
      <c r="D4">
        <v>1.32667</v>
      </c>
      <c r="E4">
        <v>9.1742329999999992</v>
      </c>
      <c r="F4">
        <v>622.89397599999995</v>
      </c>
      <c r="G4">
        <v>0.91769000000000001</v>
      </c>
    </row>
    <row r="5" spans="1:7">
      <c r="A5" s="6">
        <v>1993</v>
      </c>
      <c r="B5">
        <v>0.65806600000000004</v>
      </c>
      <c r="C5">
        <v>0.79764599999999997</v>
      </c>
      <c r="D5">
        <v>1.3108900000000001</v>
      </c>
      <c r="E5">
        <v>9.1600669999999997</v>
      </c>
      <c r="F5">
        <v>646.52811599999995</v>
      </c>
      <c r="G5">
        <v>0.91076199999999996</v>
      </c>
    </row>
    <row r="6" spans="1:7">
      <c r="A6" s="6">
        <v>1994</v>
      </c>
      <c r="B6">
        <v>0.65328600000000003</v>
      </c>
      <c r="C6">
        <v>0.79420299999999999</v>
      </c>
      <c r="D6">
        <v>1.2992250000000001</v>
      </c>
      <c r="E6">
        <v>9.2006599999999992</v>
      </c>
      <c r="F6">
        <v>684.65773200000001</v>
      </c>
      <c r="G6">
        <v>0.91011399999999998</v>
      </c>
    </row>
    <row r="7" spans="1:7">
      <c r="A7" s="6">
        <v>1995</v>
      </c>
      <c r="B7">
        <v>0.71338299999999999</v>
      </c>
      <c r="C7">
        <v>0.80149300000000001</v>
      </c>
      <c r="D7">
        <v>1.308996</v>
      </c>
      <c r="E7">
        <v>9.3551649999999995</v>
      </c>
      <c r="F7">
        <v>717.70242900000005</v>
      </c>
      <c r="G7">
        <v>0.90982600000000002</v>
      </c>
    </row>
    <row r="8" spans="1:7">
      <c r="A8" s="6">
        <v>1996</v>
      </c>
      <c r="B8">
        <v>0.71310899999999999</v>
      </c>
      <c r="C8">
        <v>0.80762999999999996</v>
      </c>
      <c r="D8">
        <v>1.311426</v>
      </c>
      <c r="E8">
        <v>9.2490799999999993</v>
      </c>
      <c r="F8">
        <v>733.76974399999995</v>
      </c>
      <c r="G8">
        <v>0.90546599999999999</v>
      </c>
    </row>
    <row r="9" spans="1:7">
      <c r="A9" s="6">
        <v>1997</v>
      </c>
      <c r="B9">
        <v>0.70880299999999996</v>
      </c>
      <c r="C9">
        <v>0.83460299999999998</v>
      </c>
      <c r="D9">
        <v>1.306627</v>
      </c>
      <c r="E9">
        <v>9.3315009999999994</v>
      </c>
      <c r="F9">
        <v>750.20804499999997</v>
      </c>
      <c r="G9">
        <v>0.90882799999999997</v>
      </c>
    </row>
    <row r="10" spans="1:7">
      <c r="A10" s="6">
        <v>1998</v>
      </c>
      <c r="B10">
        <v>0.72071799999999997</v>
      </c>
      <c r="C10">
        <v>0.86336000000000002</v>
      </c>
      <c r="D10">
        <v>1.298972</v>
      </c>
      <c r="E10">
        <v>9.3959580000000003</v>
      </c>
      <c r="F10">
        <v>775.06307000000004</v>
      </c>
      <c r="G10">
        <v>0.90595199999999998</v>
      </c>
    </row>
    <row r="11" spans="1:7">
      <c r="A11" s="6">
        <v>1999</v>
      </c>
      <c r="B11">
        <v>0.72581899999999999</v>
      </c>
      <c r="C11">
        <v>0.91388199999999997</v>
      </c>
      <c r="D11">
        <v>1.29695</v>
      </c>
      <c r="E11">
        <v>9.3058999999999994</v>
      </c>
      <c r="F11">
        <v>754.89296999999999</v>
      </c>
      <c r="G11">
        <v>0.90635699999999997</v>
      </c>
    </row>
    <row r="12" spans="1:7">
      <c r="A12" s="6">
        <v>2000</v>
      </c>
      <c r="B12">
        <v>0.70452199999999998</v>
      </c>
      <c r="C12">
        <v>0.94382900000000003</v>
      </c>
      <c r="D12">
        <v>1.3120799999999999</v>
      </c>
      <c r="E12">
        <v>9.1630889999999994</v>
      </c>
      <c r="F12">
        <v>747.73679400000003</v>
      </c>
      <c r="G12">
        <v>0.89043700000000003</v>
      </c>
    </row>
    <row r="13" spans="1:7">
      <c r="A13" s="6">
        <v>2001</v>
      </c>
      <c r="B13">
        <v>0.69447700000000001</v>
      </c>
      <c r="C13">
        <v>0.96934399999999998</v>
      </c>
      <c r="D13">
        <v>1.327545</v>
      </c>
      <c r="E13">
        <v>9.4014450000000007</v>
      </c>
      <c r="F13">
        <v>756.69913399999996</v>
      </c>
      <c r="G13">
        <v>0.90481800000000001</v>
      </c>
    </row>
    <row r="14" spans="1:7">
      <c r="A14" s="6">
        <v>2002</v>
      </c>
      <c r="B14">
        <v>0.68987699999999996</v>
      </c>
      <c r="C14">
        <v>0.98199700000000001</v>
      </c>
      <c r="D14">
        <v>1.33649</v>
      </c>
      <c r="E14">
        <v>9.4136550000000003</v>
      </c>
      <c r="F14">
        <v>769.77179000000001</v>
      </c>
      <c r="G14">
        <v>0.90086299999999997</v>
      </c>
    </row>
    <row r="15" spans="1:7">
      <c r="A15" s="6">
        <v>2003</v>
      </c>
      <c r="B15">
        <v>0.69584000000000001</v>
      </c>
      <c r="C15">
        <v>1.0038800000000001</v>
      </c>
      <c r="D15">
        <v>1.3519779999999999</v>
      </c>
      <c r="E15">
        <v>9.4854590000000005</v>
      </c>
      <c r="F15">
        <v>791.29371400000002</v>
      </c>
      <c r="G15">
        <v>0.92545200000000005</v>
      </c>
    </row>
    <row r="16" spans="1:7">
      <c r="A16" s="6">
        <v>2004</v>
      </c>
      <c r="B16">
        <v>0.68781999999999999</v>
      </c>
      <c r="C16">
        <v>0.991124</v>
      </c>
      <c r="D16">
        <v>1.36477</v>
      </c>
      <c r="E16">
        <v>9.2940389999999997</v>
      </c>
      <c r="F16">
        <v>794.71155199999998</v>
      </c>
      <c r="G16">
        <v>0.90776699999999999</v>
      </c>
    </row>
    <row r="17" spans="1:7">
      <c r="A17" s="6">
        <v>2005</v>
      </c>
      <c r="B17">
        <v>0.707619</v>
      </c>
      <c r="C17">
        <v>1.0117069999999999</v>
      </c>
      <c r="D17">
        <v>1.3883559999999999</v>
      </c>
      <c r="E17">
        <v>9.4791819999999998</v>
      </c>
      <c r="F17">
        <v>788.92013499999996</v>
      </c>
      <c r="G17">
        <v>0.89713900000000002</v>
      </c>
    </row>
    <row r="18" spans="1:7">
      <c r="A18" s="6">
        <v>2006</v>
      </c>
      <c r="B18">
        <v>0.696492</v>
      </c>
      <c r="C18">
        <v>0.97823800000000005</v>
      </c>
      <c r="D18">
        <v>1.402633</v>
      </c>
      <c r="E18">
        <v>9.1115180000000002</v>
      </c>
      <c r="F18">
        <v>772.21616100000006</v>
      </c>
      <c r="G18">
        <v>0.87192099999999995</v>
      </c>
    </row>
    <row r="19" spans="1:7">
      <c r="A19" s="6">
        <v>2007</v>
      </c>
      <c r="B19">
        <v>0.70907699999999996</v>
      </c>
      <c r="C19">
        <v>0.95757499999999995</v>
      </c>
      <c r="D19">
        <v>1.42652</v>
      </c>
      <c r="E19">
        <v>8.8708930000000006</v>
      </c>
      <c r="F19">
        <v>770.08552599999996</v>
      </c>
      <c r="G19">
        <v>0.86000399999999999</v>
      </c>
    </row>
    <row r="20" spans="1:7">
      <c r="A20" s="6">
        <v>2008</v>
      </c>
      <c r="B20">
        <v>0.70169099999999995</v>
      </c>
      <c r="C20">
        <v>0.94444700000000004</v>
      </c>
      <c r="D20">
        <v>1.4790730000000001</v>
      </c>
      <c r="E20">
        <v>8.7789859999999997</v>
      </c>
      <c r="F20">
        <v>785.71788600000002</v>
      </c>
      <c r="G20">
        <v>0.84777499999999995</v>
      </c>
    </row>
    <row r="21" spans="1:7">
      <c r="A21" s="6">
        <v>2009</v>
      </c>
      <c r="B21">
        <v>0.710094</v>
      </c>
      <c r="C21">
        <v>0.90131099999999997</v>
      </c>
      <c r="D21">
        <v>1.442566</v>
      </c>
      <c r="E21">
        <v>8.9210030000000007</v>
      </c>
      <c r="F21">
        <v>828.42084799999998</v>
      </c>
      <c r="G21">
        <v>0.84836900000000004</v>
      </c>
    </row>
    <row r="22" spans="1:7">
      <c r="A22" s="6">
        <v>2010</v>
      </c>
      <c r="B22">
        <v>0.70236399999999999</v>
      </c>
      <c r="C22">
        <v>0.84965000000000002</v>
      </c>
      <c r="D22">
        <v>1.5036229999999999</v>
      </c>
      <c r="E22">
        <v>9.0261829999999996</v>
      </c>
      <c r="F22">
        <v>840.99170200000003</v>
      </c>
      <c r="G22">
        <v>0.85419400000000001</v>
      </c>
    </row>
    <row r="23" spans="1:7">
      <c r="A23" s="6">
        <v>2011</v>
      </c>
      <c r="B23">
        <v>0.70605200000000001</v>
      </c>
      <c r="C23">
        <v>0.83151299999999995</v>
      </c>
      <c r="D23">
        <v>1.5110520000000001</v>
      </c>
      <c r="E23">
        <v>8.844042</v>
      </c>
      <c r="F23">
        <v>854.58572300000003</v>
      </c>
      <c r="G23">
        <v>0.83606499999999995</v>
      </c>
    </row>
    <row r="24" spans="1:7">
      <c r="A24" s="6">
        <v>2012</v>
      </c>
      <c r="B24">
        <v>0.70163399999999998</v>
      </c>
      <c r="C24">
        <v>0.82307200000000003</v>
      </c>
      <c r="D24">
        <v>1.5401149999999999</v>
      </c>
      <c r="E24">
        <v>8.6547680000000007</v>
      </c>
      <c r="F24">
        <v>854.88726799999995</v>
      </c>
      <c r="G24">
        <v>0.82440800000000003</v>
      </c>
    </row>
    <row r="25" spans="1:7">
      <c r="A25" s="6">
        <v>2013</v>
      </c>
      <c r="B25">
        <v>0.69524799999999998</v>
      </c>
      <c r="C25">
        <v>0.81122799999999995</v>
      </c>
      <c r="D25">
        <v>1.4471229999999999</v>
      </c>
      <c r="E25">
        <v>8.5976809999999997</v>
      </c>
      <c r="F25">
        <v>869.08142199999998</v>
      </c>
      <c r="G25">
        <v>0.79816600000000004</v>
      </c>
    </row>
    <row r="26" spans="1:7">
      <c r="A26" s="6">
        <v>2014</v>
      </c>
      <c r="B26">
        <v>0.69844399999999995</v>
      </c>
      <c r="C26">
        <v>0.81904100000000002</v>
      </c>
      <c r="D26">
        <v>1.4524889999999999</v>
      </c>
      <c r="E26">
        <v>8.727131</v>
      </c>
      <c r="F26">
        <v>871.878106</v>
      </c>
      <c r="G26">
        <v>0.80879800000000002</v>
      </c>
    </row>
    <row r="27" spans="1:7">
      <c r="A27" s="6">
        <v>2015</v>
      </c>
      <c r="B27">
        <v>0.69255100000000003</v>
      </c>
      <c r="C27">
        <v>0.80968600000000002</v>
      </c>
      <c r="D27">
        <v>1.4736910000000001</v>
      </c>
      <c r="E27">
        <v>8.8543830000000003</v>
      </c>
      <c r="F27">
        <v>857.48338699999999</v>
      </c>
      <c r="G27">
        <v>0.80997799999999998</v>
      </c>
    </row>
    <row r="28" spans="1:7">
      <c r="A28" s="6">
        <v>2016</v>
      </c>
      <c r="B28">
        <v>0.68860299999999997</v>
      </c>
      <c r="C28">
        <v>0.79428900000000002</v>
      </c>
      <c r="D28">
        <v>1.450156</v>
      </c>
      <c r="E28">
        <v>8.8225859999999994</v>
      </c>
      <c r="F28">
        <v>858.80968700000005</v>
      </c>
      <c r="G28">
        <v>0.79544800000000004</v>
      </c>
    </row>
    <row r="29" spans="1:7">
      <c r="A29" s="6">
        <v>2017</v>
      </c>
      <c r="B29">
        <v>0.68460100000000002</v>
      </c>
      <c r="C29">
        <v>0.79440500000000003</v>
      </c>
      <c r="D29">
        <v>1.4775529999999999</v>
      </c>
      <c r="E29">
        <v>8.8522470000000002</v>
      </c>
      <c r="F29">
        <v>872.62477100000001</v>
      </c>
      <c r="G29">
        <v>0.78215000000000001</v>
      </c>
    </row>
    <row r="30" spans="1:7">
      <c r="A30" s="6">
        <v>2018</v>
      </c>
      <c r="B30">
        <v>0.68771400000000005</v>
      </c>
      <c r="C30">
        <v>0.79221399999999997</v>
      </c>
      <c r="D30">
        <v>1.4704029999999999</v>
      </c>
      <c r="E30">
        <v>8.8658809999999999</v>
      </c>
      <c r="F30">
        <v>854.871397</v>
      </c>
      <c r="G30">
        <v>0.77674699999999997</v>
      </c>
    </row>
    <row r="31" spans="1:7">
      <c r="A31" s="6">
        <v>2019</v>
      </c>
      <c r="B31">
        <v>0.66966499999999995</v>
      </c>
      <c r="C31">
        <v>0.79414300000000004</v>
      </c>
      <c r="D31">
        <v>1.4592529999999999</v>
      </c>
      <c r="E31">
        <v>8.5840150000000008</v>
      </c>
      <c r="F31">
        <v>847.54782899999998</v>
      </c>
      <c r="G31">
        <v>0.76732900000000004</v>
      </c>
    </row>
    <row r="32" spans="1:7">
      <c r="A32" s="6">
        <v>2020</v>
      </c>
      <c r="B32">
        <v>0.65344599999999997</v>
      </c>
      <c r="C32">
        <v>0.77544599999999997</v>
      </c>
      <c r="D32">
        <v>1.431163</v>
      </c>
      <c r="E32">
        <v>8.4356159999999996</v>
      </c>
      <c r="F32">
        <v>829.35915699999998</v>
      </c>
      <c r="G32">
        <v>0.74782800000000005</v>
      </c>
    </row>
    <row r="33" spans="1:7">
      <c r="A33" s="6">
        <v>2021</v>
      </c>
      <c r="B33">
        <v>0.64489600000000002</v>
      </c>
      <c r="C33">
        <v>0.75570899999999996</v>
      </c>
      <c r="D33">
        <v>1.4166829999999999</v>
      </c>
      <c r="E33">
        <v>8.3116760000000003</v>
      </c>
      <c r="F33">
        <v>827.27437399999997</v>
      </c>
      <c r="G33">
        <v>0.73351500000000003</v>
      </c>
    </row>
    <row r="34" spans="1:7">
      <c r="A34" s="6">
        <v>2022</v>
      </c>
      <c r="B34">
        <v>0.65125599999999995</v>
      </c>
      <c r="C34">
        <v>0.73787899999999995</v>
      </c>
      <c r="D34">
        <v>1.372115</v>
      </c>
      <c r="E34">
        <v>8.3630849999999999</v>
      </c>
      <c r="F34">
        <v>810.43088599999999</v>
      </c>
      <c r="G34">
        <v>0.72646900000000003</v>
      </c>
    </row>
    <row r="35" spans="1:7">
      <c r="A35" s="6">
        <v>2023</v>
      </c>
      <c r="B35">
        <v>0.66741799999999996</v>
      </c>
      <c r="C35">
        <v>0.75136599999999998</v>
      </c>
      <c r="D35">
        <v>1.3911279999999999</v>
      </c>
      <c r="E35">
        <v>8.5092809999999997</v>
      </c>
      <c r="F35">
        <v>800.34801700000003</v>
      </c>
      <c r="G35">
        <v>0.73945399999999994</v>
      </c>
    </row>
    <row r="36" spans="1:7">
      <c r="A36" s="6"/>
      <c r="B36" s="6"/>
      <c r="C36" s="6"/>
      <c r="D36" s="6"/>
      <c r="E36" s="6"/>
      <c r="F36" s="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44F038-F4D5-45D9-A155-6348C42C7E2E}">
  <dimension ref="A1:J65"/>
  <sheetViews>
    <sheetView topLeftCell="A54" workbookViewId="0">
      <selection activeCell="G63" sqref="G63"/>
    </sheetView>
  </sheetViews>
  <sheetFormatPr defaultRowHeight="15"/>
  <cols>
    <col min="1" max="2" width="20.7109375" style="1" customWidth="1"/>
    <col min="3" max="3" width="26.7109375" style="1" customWidth="1"/>
    <col min="4" max="8" width="20.7109375" style="1" customWidth="1"/>
    <col min="9" max="9" width="30.42578125" style="1" customWidth="1"/>
    <col min="10" max="10" width="20.7109375" style="1" customWidth="1"/>
  </cols>
  <sheetData>
    <row r="1" spans="1:9" ht="71.25" customHeight="1">
      <c r="A1" s="50" t="s">
        <v>922</v>
      </c>
      <c r="B1" s="50" t="s">
        <v>1251</v>
      </c>
      <c r="C1" s="50" t="s">
        <v>859</v>
      </c>
      <c r="D1" s="50" t="s">
        <v>860</v>
      </c>
      <c r="E1" s="50" t="s">
        <v>870</v>
      </c>
      <c r="F1" s="50" t="s">
        <v>871</v>
      </c>
      <c r="G1" s="50" t="s">
        <v>872</v>
      </c>
      <c r="H1" s="50" t="s">
        <v>867</v>
      </c>
      <c r="I1" s="50" t="s">
        <v>873</v>
      </c>
    </row>
    <row r="2" spans="1:9" ht="30">
      <c r="B2" s="220" t="s">
        <v>1252</v>
      </c>
      <c r="C2" s="54" t="s">
        <v>1187</v>
      </c>
      <c r="D2" s="54" t="s">
        <v>884</v>
      </c>
      <c r="E2" s="54" t="s">
        <v>1253</v>
      </c>
      <c r="F2" s="54">
        <v>0.15</v>
      </c>
      <c r="G2" s="54">
        <v>0.47</v>
      </c>
      <c r="H2" s="54" t="s">
        <v>365</v>
      </c>
      <c r="I2" s="54" t="s">
        <v>1254</v>
      </c>
    </row>
    <row r="3" spans="1:9" ht="30">
      <c r="B3" s="219" t="s">
        <v>1252</v>
      </c>
      <c r="C3" s="221" t="s">
        <v>1189</v>
      </c>
      <c r="D3" s="51" t="s">
        <v>884</v>
      </c>
      <c r="E3" s="222" t="s">
        <v>1255</v>
      </c>
      <c r="F3" s="51">
        <v>1.7480076535403569E-28</v>
      </c>
      <c r="G3" s="51">
        <v>1.2505425878521919</v>
      </c>
      <c r="H3" s="51" t="s">
        <v>840</v>
      </c>
      <c r="I3" s="51" t="s">
        <v>974</v>
      </c>
    </row>
    <row r="4" spans="1:9" ht="30">
      <c r="B4" s="219" t="s">
        <v>1252</v>
      </c>
      <c r="C4" s="51" t="s">
        <v>1198</v>
      </c>
      <c r="D4" s="51" t="s">
        <v>884</v>
      </c>
      <c r="E4" s="51" t="s">
        <v>1256</v>
      </c>
      <c r="F4" s="51">
        <v>3.7323</v>
      </c>
      <c r="G4" s="51">
        <v>4.5999999999999996</v>
      </c>
      <c r="H4" s="51" t="s">
        <v>216</v>
      </c>
      <c r="I4" s="51" t="s">
        <v>1257</v>
      </c>
    </row>
    <row r="5" spans="1:9" ht="30">
      <c r="B5" s="219" t="s">
        <v>1252</v>
      </c>
      <c r="C5" s="51" t="s">
        <v>1201</v>
      </c>
      <c r="D5" s="51" t="s">
        <v>884</v>
      </c>
      <c r="E5" s="51" t="s">
        <v>1258</v>
      </c>
      <c r="F5" s="51">
        <v>8.91</v>
      </c>
      <c r="G5" s="51">
        <v>152.58199999999999</v>
      </c>
      <c r="H5" s="51" t="s">
        <v>1259</v>
      </c>
      <c r="I5" s="51" t="s">
        <v>1260</v>
      </c>
    </row>
    <row r="6" spans="1:9">
      <c r="B6" s="219" t="s">
        <v>1252</v>
      </c>
      <c r="C6" s="51" t="s">
        <v>1203</v>
      </c>
      <c r="D6" s="51" t="s">
        <v>884</v>
      </c>
      <c r="E6" s="51">
        <v>3.03</v>
      </c>
      <c r="F6" s="51">
        <v>3.03</v>
      </c>
      <c r="G6" s="51">
        <v>3.03</v>
      </c>
      <c r="H6" s="51" t="s">
        <v>216</v>
      </c>
      <c r="I6" s="51" t="s">
        <v>1077</v>
      </c>
    </row>
    <row r="7" spans="1:9" ht="30">
      <c r="B7" s="219" t="s">
        <v>1252</v>
      </c>
      <c r="C7" s="51" t="s">
        <v>1206</v>
      </c>
      <c r="D7" s="51" t="s">
        <v>884</v>
      </c>
      <c r="E7" s="51" t="s">
        <v>1261</v>
      </c>
      <c r="F7" s="51">
        <v>5.3265437655468499</v>
      </c>
      <c r="G7" s="51">
        <v>45.45454545454546</v>
      </c>
      <c r="H7" s="51" t="s">
        <v>1262</v>
      </c>
      <c r="I7" s="51" t="s">
        <v>1263</v>
      </c>
    </row>
    <row r="8" spans="1:9" ht="30">
      <c r="B8" s="219" t="s">
        <v>1252</v>
      </c>
      <c r="C8" s="51" t="s">
        <v>1206</v>
      </c>
      <c r="D8" s="51" t="s">
        <v>894</v>
      </c>
      <c r="E8" s="51">
        <v>55.64</v>
      </c>
      <c r="F8" s="51">
        <v>55.64</v>
      </c>
      <c r="G8" s="51">
        <v>55.64</v>
      </c>
      <c r="H8" s="51" t="s">
        <v>840</v>
      </c>
      <c r="I8" s="51" t="s">
        <v>990</v>
      </c>
    </row>
    <row r="9" spans="1:9" ht="105">
      <c r="B9" s="219" t="s">
        <v>1252</v>
      </c>
      <c r="C9" s="221" t="s">
        <v>1212</v>
      </c>
      <c r="D9" s="51" t="s">
        <v>884</v>
      </c>
      <c r="E9" s="51" t="s">
        <v>1264</v>
      </c>
      <c r="F9" s="51">
        <v>2E-3</v>
      </c>
      <c r="G9" s="51">
        <v>0.747</v>
      </c>
      <c r="H9" s="51" t="s">
        <v>1265</v>
      </c>
      <c r="I9" s="51" t="s">
        <v>1266</v>
      </c>
    </row>
    <row r="10" spans="1:9" ht="45">
      <c r="B10" s="219" t="s">
        <v>1252</v>
      </c>
      <c r="C10" s="51" t="s">
        <v>1216</v>
      </c>
      <c r="D10" s="51" t="s">
        <v>884</v>
      </c>
      <c r="E10" s="51">
        <v>2.72</v>
      </c>
      <c r="F10" s="51">
        <v>2.72</v>
      </c>
      <c r="G10" s="51">
        <v>2.72</v>
      </c>
      <c r="H10" s="51" t="s">
        <v>365</v>
      </c>
      <c r="I10" s="51" t="s">
        <v>909</v>
      </c>
    </row>
    <row r="11" spans="1:9" ht="120">
      <c r="B11" s="219" t="s">
        <v>1252</v>
      </c>
      <c r="C11" s="50" t="s">
        <v>1219</v>
      </c>
      <c r="D11" s="51" t="s">
        <v>884</v>
      </c>
      <c r="E11" s="51" t="s">
        <v>1267</v>
      </c>
      <c r="F11" s="51">
        <v>2.3815688838167565E-3</v>
      </c>
      <c r="G11" s="51">
        <v>0.92</v>
      </c>
      <c r="H11" s="51" t="s">
        <v>1268</v>
      </c>
      <c r="I11" s="51" t="s">
        <v>1269</v>
      </c>
    </row>
    <row r="12" spans="1:9">
      <c r="B12" s="219" t="s">
        <v>1252</v>
      </c>
      <c r="C12" s="50" t="s">
        <v>1219</v>
      </c>
      <c r="D12" s="51" t="s">
        <v>894</v>
      </c>
      <c r="E12" s="51">
        <v>-0.79</v>
      </c>
      <c r="F12" s="51">
        <v>-0.79173049090909098</v>
      </c>
      <c r="G12" s="51">
        <v>-0.79173049090909098</v>
      </c>
      <c r="H12" s="51" t="s">
        <v>365</v>
      </c>
      <c r="I12" s="51" t="s">
        <v>901</v>
      </c>
    </row>
    <row r="13" spans="1:9" ht="30">
      <c r="B13" s="219" t="s">
        <v>1252</v>
      </c>
      <c r="C13" s="51" t="s">
        <v>1221</v>
      </c>
      <c r="D13" s="51" t="s">
        <v>884</v>
      </c>
      <c r="E13" s="51" t="s">
        <v>1270</v>
      </c>
      <c r="F13" s="51">
        <v>3.08</v>
      </c>
      <c r="G13" s="51">
        <v>10.880802522861678</v>
      </c>
      <c r="H13" s="51" t="s">
        <v>1271</v>
      </c>
      <c r="I13" s="51" t="s">
        <v>1272</v>
      </c>
    </row>
    <row r="14" spans="1:9" ht="30">
      <c r="B14" s="219" t="s">
        <v>1252</v>
      </c>
      <c r="C14" s="51" t="s">
        <v>1230</v>
      </c>
      <c r="D14" s="51" t="s">
        <v>884</v>
      </c>
      <c r="E14" s="51" t="s">
        <v>1273</v>
      </c>
      <c r="F14" s="51">
        <v>0.29599999999999999</v>
      </c>
      <c r="G14" s="51">
        <v>0.47</v>
      </c>
      <c r="H14" s="51" t="s">
        <v>1274</v>
      </c>
      <c r="I14" s="51" t="s">
        <v>1275</v>
      </c>
    </row>
    <row r="15" spans="1:9" ht="30">
      <c r="B15" s="219" t="s">
        <v>1252</v>
      </c>
      <c r="C15" s="51" t="s">
        <v>1234</v>
      </c>
      <c r="D15" s="51" t="s">
        <v>884</v>
      </c>
      <c r="E15" s="51" t="s">
        <v>1276</v>
      </c>
      <c r="F15" s="51">
        <v>2.5792999999999999</v>
      </c>
      <c r="G15" s="51">
        <v>6.0019999999999998</v>
      </c>
      <c r="H15" s="51" t="s">
        <v>1277</v>
      </c>
      <c r="I15" s="51" t="s">
        <v>1278</v>
      </c>
    </row>
    <row r="16" spans="1:9">
      <c r="B16" s="219" t="s">
        <v>1252</v>
      </c>
      <c r="C16" s="51" t="s">
        <v>1192</v>
      </c>
      <c r="D16" s="51" t="s">
        <v>894</v>
      </c>
      <c r="E16" s="51">
        <v>-0.01</v>
      </c>
      <c r="F16" s="51">
        <v>-1.3195508181818184E-2</v>
      </c>
      <c r="G16" s="51">
        <v>-1.3195508181818184E-2</v>
      </c>
      <c r="H16" s="51" t="s">
        <v>365</v>
      </c>
      <c r="I16" s="51" t="s">
        <v>901</v>
      </c>
    </row>
    <row r="17" spans="2:9">
      <c r="B17" s="219" t="s">
        <v>1252</v>
      </c>
      <c r="C17" s="51" t="s">
        <v>1248</v>
      </c>
      <c r="D17" s="51" t="s">
        <v>884</v>
      </c>
      <c r="E17" s="51">
        <v>3.49</v>
      </c>
      <c r="F17" s="51">
        <v>3.49</v>
      </c>
      <c r="G17" s="51">
        <v>3.49</v>
      </c>
      <c r="H17" s="51" t="s">
        <v>486</v>
      </c>
      <c r="I17" s="51" t="s">
        <v>1066</v>
      </c>
    </row>
    <row r="18" spans="2:9">
      <c r="B18" s="219"/>
      <c r="C18" s="51"/>
      <c r="D18" s="51"/>
      <c r="E18" s="51"/>
      <c r="F18" s="51"/>
      <c r="G18" s="51"/>
      <c r="H18" s="51"/>
      <c r="I18" s="51"/>
    </row>
    <row r="19" spans="2:9">
      <c r="B19" s="219" t="s">
        <v>1279</v>
      </c>
      <c r="C19" s="50" t="s">
        <v>1119</v>
      </c>
      <c r="D19" s="51" t="s">
        <v>884</v>
      </c>
      <c r="E19" s="51">
        <v>18.190000000000001</v>
      </c>
      <c r="F19" s="51">
        <v>18.192328604914966</v>
      </c>
      <c r="G19" s="51">
        <v>18.192328604914966</v>
      </c>
      <c r="H19" s="51" t="s">
        <v>50</v>
      </c>
      <c r="I19" s="51" t="s">
        <v>1094</v>
      </c>
    </row>
    <row r="20" spans="2:9" ht="30">
      <c r="B20" s="219" t="s">
        <v>1279</v>
      </c>
      <c r="C20" s="51" t="s">
        <v>1123</v>
      </c>
      <c r="D20" s="51" t="s">
        <v>884</v>
      </c>
      <c r="E20" s="51">
        <v>8.0299999999999994</v>
      </c>
      <c r="F20" s="51">
        <v>8.0299999999999994</v>
      </c>
      <c r="G20" s="51">
        <v>8.0299999999999994</v>
      </c>
      <c r="H20" s="51" t="s">
        <v>365</v>
      </c>
      <c r="I20" s="51" t="s">
        <v>909</v>
      </c>
    </row>
    <row r="21" spans="2:9" ht="30">
      <c r="B21" s="219" t="s">
        <v>1279</v>
      </c>
      <c r="C21" s="51" t="s">
        <v>1126</v>
      </c>
      <c r="D21" s="51" t="s">
        <v>884</v>
      </c>
      <c r="E21" s="51">
        <v>5.95</v>
      </c>
      <c r="F21" s="51">
        <v>5.95</v>
      </c>
      <c r="G21" s="51">
        <v>5.95</v>
      </c>
      <c r="H21" s="51" t="s">
        <v>365</v>
      </c>
      <c r="I21" s="51" t="s">
        <v>909</v>
      </c>
    </row>
    <row r="22" spans="2:9" ht="105">
      <c r="B22" s="219" t="s">
        <v>1279</v>
      </c>
      <c r="C22" s="221" t="s">
        <v>1127</v>
      </c>
      <c r="D22" s="51" t="s">
        <v>884</v>
      </c>
      <c r="E22" s="51" t="s">
        <v>1280</v>
      </c>
      <c r="F22" s="51">
        <v>6.9900000000000004E-2</v>
      </c>
      <c r="G22" s="51">
        <v>92.758561082111768</v>
      </c>
      <c r="H22" s="51" t="s">
        <v>1281</v>
      </c>
      <c r="I22" s="51" t="s">
        <v>1282</v>
      </c>
    </row>
    <row r="23" spans="2:9" ht="90">
      <c r="B23" s="219" t="s">
        <v>1279</v>
      </c>
      <c r="C23" s="221" t="s">
        <v>1127</v>
      </c>
      <c r="D23" s="51" t="s">
        <v>894</v>
      </c>
      <c r="E23" s="51" t="s">
        <v>1283</v>
      </c>
      <c r="F23" s="51">
        <v>4.5999999999999999E-2</v>
      </c>
      <c r="G23" s="51">
        <v>0.40100000000000002</v>
      </c>
      <c r="H23" s="51" t="s">
        <v>1284</v>
      </c>
      <c r="I23" s="51" t="s">
        <v>893</v>
      </c>
    </row>
    <row r="24" spans="2:9" ht="30">
      <c r="B24" s="219" t="s">
        <v>1279</v>
      </c>
      <c r="C24" s="51" t="s">
        <v>1140</v>
      </c>
      <c r="D24" s="51" t="s">
        <v>884</v>
      </c>
      <c r="E24" s="51" t="s">
        <v>1285</v>
      </c>
      <c r="F24" s="51">
        <v>4.7478871902003608</v>
      </c>
      <c r="G24" s="51">
        <v>5.44</v>
      </c>
      <c r="H24" s="51" t="s">
        <v>216</v>
      </c>
      <c r="I24" s="51" t="s">
        <v>1286</v>
      </c>
    </row>
    <row r="25" spans="2:9">
      <c r="B25" s="219"/>
      <c r="C25" s="51"/>
      <c r="D25" s="51"/>
      <c r="E25" s="51"/>
      <c r="F25" s="51"/>
      <c r="G25" s="51"/>
      <c r="H25" s="51"/>
      <c r="I25" s="51"/>
    </row>
    <row r="26" spans="2:9" ht="45">
      <c r="B26" s="219" t="s">
        <v>1287</v>
      </c>
      <c r="C26" s="44" t="s">
        <v>1072</v>
      </c>
      <c r="D26" s="46" t="s">
        <v>884</v>
      </c>
      <c r="E26" s="194" t="s">
        <v>1288</v>
      </c>
      <c r="F26" s="200">
        <v>6.3</v>
      </c>
      <c r="G26" s="46">
        <v>125.3938</v>
      </c>
      <c r="H26" s="51" t="s">
        <v>1289</v>
      </c>
      <c r="I26" s="51" t="s">
        <v>1290</v>
      </c>
    </row>
    <row r="27" spans="2:9" ht="30">
      <c r="B27" s="219" t="s">
        <v>1287</v>
      </c>
      <c r="C27" s="44" t="s">
        <v>1080</v>
      </c>
      <c r="D27" s="46" t="s">
        <v>884</v>
      </c>
      <c r="E27" s="194" t="s">
        <v>1291</v>
      </c>
      <c r="F27" s="200">
        <v>5.8608745597017986</v>
      </c>
      <c r="G27" s="46">
        <v>45.98</v>
      </c>
      <c r="H27" s="51" t="s">
        <v>216</v>
      </c>
      <c r="I27" s="51" t="s">
        <v>1292</v>
      </c>
    </row>
    <row r="28" spans="2:9">
      <c r="B28" s="219" t="s">
        <v>1287</v>
      </c>
      <c r="C28" s="44" t="s">
        <v>1084</v>
      </c>
      <c r="D28" s="46" t="s">
        <v>884</v>
      </c>
      <c r="E28" s="194">
        <v>1.63</v>
      </c>
      <c r="F28" s="200">
        <v>1.6256999999999999</v>
      </c>
      <c r="G28" s="46">
        <v>1.6256999999999999</v>
      </c>
      <c r="H28" s="51" t="s">
        <v>967</v>
      </c>
      <c r="I28" s="51" t="s">
        <v>968</v>
      </c>
    </row>
    <row r="29" spans="2:9" ht="45">
      <c r="B29" s="219" t="s">
        <v>1287</v>
      </c>
      <c r="C29" s="44" t="s">
        <v>1087</v>
      </c>
      <c r="D29" s="46" t="s">
        <v>884</v>
      </c>
      <c r="E29" s="194">
        <v>11.94</v>
      </c>
      <c r="F29" s="200">
        <v>11.9368</v>
      </c>
      <c r="G29" s="46">
        <v>11.9368</v>
      </c>
      <c r="H29" s="51" t="s">
        <v>216</v>
      </c>
      <c r="I29" s="51" t="s">
        <v>1077</v>
      </c>
    </row>
    <row r="30" spans="2:9">
      <c r="B30" s="219" t="s">
        <v>1287</v>
      </c>
      <c r="C30" s="44" t="s">
        <v>1090</v>
      </c>
      <c r="D30" s="46" t="s">
        <v>884</v>
      </c>
      <c r="E30" s="194">
        <v>8330.6</v>
      </c>
      <c r="F30" s="200">
        <v>8330.5949999999993</v>
      </c>
      <c r="G30" s="46">
        <v>8330.5949999999993</v>
      </c>
      <c r="H30" s="51" t="s">
        <v>976</v>
      </c>
      <c r="I30" s="51" t="s">
        <v>968</v>
      </c>
    </row>
    <row r="31" spans="2:9" ht="60">
      <c r="B31" s="219" t="s">
        <v>1287</v>
      </c>
      <c r="C31" s="45" t="s">
        <v>1092</v>
      </c>
      <c r="D31" s="46" t="s">
        <v>884</v>
      </c>
      <c r="E31" s="194" t="s">
        <v>1293</v>
      </c>
      <c r="F31" s="200">
        <v>6.3598195226018319</v>
      </c>
      <c r="G31" s="46">
        <v>524.79095376980729</v>
      </c>
      <c r="H31" s="51" t="s">
        <v>1294</v>
      </c>
      <c r="I31" s="51" t="s">
        <v>1295</v>
      </c>
    </row>
    <row r="32" spans="2:9">
      <c r="B32" s="219" t="s">
        <v>1287</v>
      </c>
      <c r="C32" s="45" t="s">
        <v>1092</v>
      </c>
      <c r="D32" s="46" t="s">
        <v>894</v>
      </c>
      <c r="E32" s="194">
        <v>0.28000000000000003</v>
      </c>
      <c r="F32" s="200">
        <v>0.28000000000000003</v>
      </c>
      <c r="G32" s="46">
        <v>0.28000000000000003</v>
      </c>
      <c r="H32" s="51" t="s">
        <v>365</v>
      </c>
      <c r="I32" s="51" t="s">
        <v>901</v>
      </c>
    </row>
    <row r="33" spans="2:9">
      <c r="B33" s="219" t="s">
        <v>1287</v>
      </c>
      <c r="C33" s="223" t="s">
        <v>1102</v>
      </c>
      <c r="D33" s="46" t="s">
        <v>894</v>
      </c>
      <c r="E33" s="194">
        <v>0.17</v>
      </c>
      <c r="F33" s="200">
        <v>0.16700000000000001</v>
      </c>
      <c r="G33" s="46">
        <v>0.16700000000000001</v>
      </c>
      <c r="H33" s="51" t="s">
        <v>1033</v>
      </c>
      <c r="I33" s="51" t="s">
        <v>888</v>
      </c>
    </row>
    <row r="34" spans="2:9">
      <c r="B34" s="219"/>
      <c r="C34" s="51"/>
      <c r="D34" s="51"/>
      <c r="E34" s="51"/>
      <c r="F34" s="51"/>
      <c r="G34" s="51"/>
      <c r="H34" s="51"/>
      <c r="I34" s="51"/>
    </row>
    <row r="35" spans="2:9" ht="150">
      <c r="B35" s="219" t="s">
        <v>1296</v>
      </c>
      <c r="C35" s="52" t="s">
        <v>1035</v>
      </c>
      <c r="D35" s="46" t="s">
        <v>884</v>
      </c>
      <c r="E35" s="194" t="s">
        <v>1297</v>
      </c>
      <c r="F35" s="200">
        <v>0.26200000000000001</v>
      </c>
      <c r="G35" s="46">
        <v>0.65900000000000003</v>
      </c>
      <c r="H35" s="51" t="s">
        <v>1298</v>
      </c>
      <c r="I35" s="51" t="s">
        <v>1299</v>
      </c>
    </row>
    <row r="36" spans="2:9">
      <c r="B36" s="219" t="s">
        <v>1296</v>
      </c>
      <c r="C36" s="52" t="s">
        <v>1055</v>
      </c>
      <c r="D36" s="46" t="s">
        <v>884</v>
      </c>
      <c r="E36" s="194">
        <v>2.83</v>
      </c>
      <c r="F36" s="200">
        <v>2.83</v>
      </c>
      <c r="G36" s="46">
        <v>2.83</v>
      </c>
      <c r="H36" s="51" t="s">
        <v>548</v>
      </c>
      <c r="I36" s="51" t="s">
        <v>953</v>
      </c>
    </row>
    <row r="37" spans="2:9" ht="60">
      <c r="B37" s="219" t="s">
        <v>1296</v>
      </c>
      <c r="C37" s="44" t="s">
        <v>1058</v>
      </c>
      <c r="D37" s="46" t="s">
        <v>884</v>
      </c>
      <c r="E37" s="194">
        <v>1.38</v>
      </c>
      <c r="F37" s="200">
        <v>1.38</v>
      </c>
      <c r="G37" s="46">
        <v>1.38</v>
      </c>
      <c r="H37" s="51" t="s">
        <v>911</v>
      </c>
      <c r="I37" s="51" t="s">
        <v>912</v>
      </c>
    </row>
    <row r="38" spans="2:9" ht="60">
      <c r="B38" s="219" t="s">
        <v>1296</v>
      </c>
      <c r="C38" s="44" t="s">
        <v>1062</v>
      </c>
      <c r="D38" s="46" t="s">
        <v>884</v>
      </c>
      <c r="E38" s="194">
        <v>1.22</v>
      </c>
      <c r="F38" s="200">
        <v>1.22</v>
      </c>
      <c r="G38" s="46">
        <v>1.22</v>
      </c>
      <c r="H38" s="51" t="s">
        <v>911</v>
      </c>
      <c r="I38" s="51" t="s">
        <v>912</v>
      </c>
    </row>
    <row r="39" spans="2:9" ht="30">
      <c r="B39" s="219" t="s">
        <v>1296</v>
      </c>
      <c r="C39" s="44" t="s">
        <v>1064</v>
      </c>
      <c r="D39" s="46" t="s">
        <v>884</v>
      </c>
      <c r="E39" s="194">
        <v>0.05</v>
      </c>
      <c r="F39" s="200">
        <v>0.05</v>
      </c>
      <c r="G39" s="46">
        <v>0.05</v>
      </c>
      <c r="H39" s="51" t="s">
        <v>486</v>
      </c>
      <c r="I39" s="51" t="s">
        <v>1066</v>
      </c>
    </row>
    <row r="40" spans="2:9" ht="60">
      <c r="B40" s="219" t="s">
        <v>1296</v>
      </c>
      <c r="C40" s="44" t="s">
        <v>1067</v>
      </c>
      <c r="D40" s="46" t="s">
        <v>884</v>
      </c>
      <c r="E40" s="194">
        <v>1.25</v>
      </c>
      <c r="F40" s="200">
        <v>1.25</v>
      </c>
      <c r="G40" s="46">
        <v>1.25</v>
      </c>
      <c r="H40" s="51" t="s">
        <v>911</v>
      </c>
      <c r="I40" s="51" t="s">
        <v>912</v>
      </c>
    </row>
    <row r="41" spans="2:9" ht="30">
      <c r="B41" s="219" t="s">
        <v>1296</v>
      </c>
      <c r="C41" s="44" t="s">
        <v>1069</v>
      </c>
      <c r="D41" s="46" t="s">
        <v>884</v>
      </c>
      <c r="E41" s="194">
        <v>0.43</v>
      </c>
      <c r="F41" s="200">
        <v>0.42599999999999999</v>
      </c>
      <c r="G41" s="46">
        <v>0.42599999999999999</v>
      </c>
      <c r="H41" s="51" t="s">
        <v>840</v>
      </c>
      <c r="I41" s="51" t="s">
        <v>889</v>
      </c>
    </row>
    <row r="42" spans="2:9">
      <c r="B42" s="219"/>
      <c r="C42" s="51"/>
      <c r="D42" s="51"/>
      <c r="E42" s="51"/>
      <c r="F42" s="51"/>
      <c r="G42" s="51"/>
      <c r="H42" s="51"/>
      <c r="I42" s="51"/>
    </row>
    <row r="43" spans="2:9" ht="30">
      <c r="B43" s="219" t="s">
        <v>1300</v>
      </c>
      <c r="C43" s="51" t="s">
        <v>951</v>
      </c>
      <c r="D43" s="51" t="s">
        <v>884</v>
      </c>
      <c r="E43" s="51">
        <v>0.6</v>
      </c>
      <c r="F43" s="51">
        <v>0.60240963855421692</v>
      </c>
      <c r="G43" s="51">
        <v>0.60240963855421692</v>
      </c>
      <c r="H43" s="51" t="s">
        <v>548</v>
      </c>
      <c r="I43" s="51" t="s">
        <v>953</v>
      </c>
    </row>
    <row r="44" spans="2:9" ht="75">
      <c r="B44" s="219" t="s">
        <v>1300</v>
      </c>
      <c r="C44" s="51" t="s">
        <v>959</v>
      </c>
      <c r="D44" s="51" t="s">
        <v>894</v>
      </c>
      <c r="E44" s="51" t="s">
        <v>1301</v>
      </c>
      <c r="F44" s="51">
        <v>0.06</v>
      </c>
      <c r="G44" s="51">
        <v>3.7453183520599249</v>
      </c>
      <c r="H44" s="51" t="s">
        <v>1302</v>
      </c>
      <c r="I44" s="51" t="s">
        <v>893</v>
      </c>
    </row>
    <row r="45" spans="2:9" ht="30">
      <c r="B45" s="219" t="s">
        <v>1300</v>
      </c>
      <c r="C45" s="221" t="s">
        <v>962</v>
      </c>
      <c r="D45" s="51" t="s">
        <v>884</v>
      </c>
      <c r="E45" s="51">
        <v>11.14</v>
      </c>
      <c r="F45" s="51">
        <v>11.1442</v>
      </c>
      <c r="G45" s="51">
        <v>11.1442</v>
      </c>
      <c r="H45" s="51" t="s">
        <v>967</v>
      </c>
      <c r="I45" s="51" t="s">
        <v>968</v>
      </c>
    </row>
    <row r="46" spans="2:9" ht="30">
      <c r="B46" s="219" t="s">
        <v>1300</v>
      </c>
      <c r="C46" s="221" t="s">
        <v>962</v>
      </c>
      <c r="D46" s="51" t="s">
        <v>894</v>
      </c>
      <c r="E46" s="51">
        <v>0.44</v>
      </c>
      <c r="F46" s="51">
        <v>0.44</v>
      </c>
      <c r="G46" s="51">
        <v>0.44</v>
      </c>
      <c r="H46" s="51" t="s">
        <v>365</v>
      </c>
      <c r="I46" s="51" t="s">
        <v>901</v>
      </c>
    </row>
    <row r="47" spans="2:9" ht="30">
      <c r="B47" s="219" t="s">
        <v>1300</v>
      </c>
      <c r="C47" s="51" t="s">
        <v>977</v>
      </c>
      <c r="D47" s="51" t="s">
        <v>884</v>
      </c>
      <c r="E47" s="51">
        <v>0.68</v>
      </c>
      <c r="F47" s="51">
        <v>0.68</v>
      </c>
      <c r="G47" s="51">
        <v>0.68</v>
      </c>
      <c r="H47" s="51" t="s">
        <v>246</v>
      </c>
      <c r="I47" s="51" t="s">
        <v>979</v>
      </c>
    </row>
    <row r="48" spans="2:9" ht="30">
      <c r="B48" s="219" t="s">
        <v>1300</v>
      </c>
      <c r="C48" s="51" t="s">
        <v>982</v>
      </c>
      <c r="D48" s="51" t="s">
        <v>884</v>
      </c>
      <c r="E48" s="51">
        <v>5.73</v>
      </c>
      <c r="F48" s="51">
        <v>5.7320000000000002</v>
      </c>
      <c r="G48" s="51">
        <v>5.7320000000000002</v>
      </c>
      <c r="H48" s="51" t="s">
        <v>840</v>
      </c>
      <c r="I48" s="51" t="s">
        <v>889</v>
      </c>
    </row>
    <row r="49" spans="2:9" ht="90">
      <c r="B49" s="219" t="s">
        <v>1300</v>
      </c>
      <c r="C49" s="221" t="s">
        <v>984</v>
      </c>
      <c r="D49" s="51" t="s">
        <v>884</v>
      </c>
      <c r="E49" s="51" t="s">
        <v>1303</v>
      </c>
      <c r="F49" s="51">
        <v>3.0630000000000002</v>
      </c>
      <c r="G49" s="51">
        <v>3.6280000000000001</v>
      </c>
      <c r="H49" s="51" t="s">
        <v>987</v>
      </c>
      <c r="I49" s="51" t="s">
        <v>888</v>
      </c>
    </row>
    <row r="50" spans="2:9" ht="75">
      <c r="B50" s="219" t="s">
        <v>1300</v>
      </c>
      <c r="C50" s="221" t="s">
        <v>984</v>
      </c>
      <c r="D50" s="51" t="s">
        <v>894</v>
      </c>
      <c r="E50" s="51" t="s">
        <v>1304</v>
      </c>
      <c r="F50" s="51">
        <v>3.4000000000000002E-2</v>
      </c>
      <c r="G50" s="51">
        <v>0.33</v>
      </c>
      <c r="H50" s="51" t="s">
        <v>1305</v>
      </c>
      <c r="I50" s="51" t="s">
        <v>893</v>
      </c>
    </row>
    <row r="51" spans="2:9" ht="45">
      <c r="B51" s="219" t="s">
        <v>1300</v>
      </c>
      <c r="C51" s="221" t="s">
        <v>988</v>
      </c>
      <c r="D51" s="51" t="s">
        <v>884</v>
      </c>
      <c r="E51" s="51">
        <v>9.1199999999999992</v>
      </c>
      <c r="F51" s="51">
        <v>9.1189999999999998</v>
      </c>
      <c r="G51" s="51">
        <v>9.1189999999999998</v>
      </c>
      <c r="H51" s="51" t="s">
        <v>887</v>
      </c>
      <c r="I51" s="51" t="s">
        <v>888</v>
      </c>
    </row>
    <row r="52" spans="2:9" ht="90">
      <c r="B52" s="219" t="s">
        <v>1300</v>
      </c>
      <c r="C52" s="221" t="s">
        <v>988</v>
      </c>
      <c r="D52" s="51" t="s">
        <v>894</v>
      </c>
      <c r="E52" s="51" t="s">
        <v>1306</v>
      </c>
      <c r="F52" s="51">
        <v>2.7E-2</v>
      </c>
      <c r="G52" s="51">
        <v>0.28999999999999998</v>
      </c>
      <c r="H52" s="51" t="s">
        <v>1307</v>
      </c>
      <c r="I52" s="51" t="s">
        <v>1308</v>
      </c>
    </row>
    <row r="53" spans="2:9" ht="30">
      <c r="B53" s="219" t="s">
        <v>1300</v>
      </c>
      <c r="C53" s="221" t="s">
        <v>1000</v>
      </c>
      <c r="D53" s="51" t="s">
        <v>884</v>
      </c>
      <c r="E53" s="51">
        <v>0.17</v>
      </c>
      <c r="F53" s="51">
        <v>0.16696016966704069</v>
      </c>
      <c r="G53" s="51">
        <v>0.16696016966704069</v>
      </c>
      <c r="H53" s="51" t="s">
        <v>152</v>
      </c>
      <c r="I53" s="51" t="s">
        <v>950</v>
      </c>
    </row>
    <row r="54" spans="2:9" ht="30">
      <c r="B54" s="219" t="s">
        <v>1300</v>
      </c>
      <c r="C54" s="51" t="s">
        <v>1003</v>
      </c>
      <c r="D54" s="51" t="s">
        <v>884</v>
      </c>
      <c r="E54" s="51">
        <v>0.05</v>
      </c>
      <c r="F54" s="51">
        <v>4.6899999999999997E-2</v>
      </c>
      <c r="G54" s="51">
        <v>4.6899999999999997E-2</v>
      </c>
      <c r="H54" s="51" t="s">
        <v>976</v>
      </c>
      <c r="I54" s="51" t="s">
        <v>968</v>
      </c>
    </row>
    <row r="55" spans="2:9" ht="30">
      <c r="B55" s="219" t="s">
        <v>1300</v>
      </c>
      <c r="C55" s="51" t="s">
        <v>1007</v>
      </c>
      <c r="D55" s="51" t="s">
        <v>884</v>
      </c>
      <c r="E55" s="51">
        <v>0.28999999999999998</v>
      </c>
      <c r="F55" s="51">
        <v>0.28799999999999998</v>
      </c>
      <c r="G55" s="51">
        <v>0.28799999999999998</v>
      </c>
      <c r="H55" s="51" t="s">
        <v>840</v>
      </c>
      <c r="I55" s="51" t="s">
        <v>889</v>
      </c>
    </row>
    <row r="56" spans="2:9" ht="30">
      <c r="B56" s="219" t="s">
        <v>1300</v>
      </c>
      <c r="C56" s="51" t="s">
        <v>1011</v>
      </c>
      <c r="D56" s="51" t="s">
        <v>884</v>
      </c>
      <c r="E56" s="51">
        <v>0.05</v>
      </c>
      <c r="F56" s="51">
        <v>4.6399999999999997E-2</v>
      </c>
      <c r="G56" s="51">
        <v>4.6399999999999997E-2</v>
      </c>
      <c r="H56" s="51" t="s">
        <v>976</v>
      </c>
      <c r="I56" s="51" t="s">
        <v>968</v>
      </c>
    </row>
    <row r="57" spans="2:9" ht="30">
      <c r="B57" s="219" t="s">
        <v>1300</v>
      </c>
      <c r="C57" s="224" t="s">
        <v>1014</v>
      </c>
      <c r="D57" s="51" t="s">
        <v>884</v>
      </c>
      <c r="E57" s="51">
        <v>25.55</v>
      </c>
      <c r="F57" s="51">
        <v>25.552</v>
      </c>
      <c r="G57" s="51">
        <v>25.552</v>
      </c>
      <c r="H57" s="51" t="s">
        <v>182</v>
      </c>
      <c r="I57" s="51" t="s">
        <v>905</v>
      </c>
    </row>
    <row r="58" spans="2:9">
      <c r="B58" s="219"/>
      <c r="C58" s="51"/>
      <c r="D58" s="51"/>
      <c r="E58" s="51"/>
      <c r="F58" s="51"/>
      <c r="G58" s="51"/>
      <c r="H58" s="51"/>
      <c r="I58" s="51"/>
    </row>
    <row r="59" spans="2:9" ht="60">
      <c r="B59" s="219" t="s">
        <v>1309</v>
      </c>
      <c r="C59" s="51" t="s">
        <v>923</v>
      </c>
      <c r="D59" s="51" t="s">
        <v>884</v>
      </c>
      <c r="E59" s="51" t="s">
        <v>1310</v>
      </c>
      <c r="F59" s="51">
        <v>5.68</v>
      </c>
      <c r="G59" s="51">
        <v>43.35</v>
      </c>
      <c r="H59" s="51" t="s">
        <v>911</v>
      </c>
      <c r="I59" s="51" t="s">
        <v>912</v>
      </c>
    </row>
    <row r="60" spans="2:9" ht="90">
      <c r="B60" s="219" t="s">
        <v>1309</v>
      </c>
      <c r="C60" s="51" t="s">
        <v>932</v>
      </c>
      <c r="D60" s="51" t="s">
        <v>884</v>
      </c>
      <c r="E60" s="51" t="s">
        <v>1311</v>
      </c>
      <c r="F60" s="51">
        <v>8.2000000000000003E-2</v>
      </c>
      <c r="G60" s="51">
        <v>35.49</v>
      </c>
      <c r="H60" s="51" t="s">
        <v>1312</v>
      </c>
      <c r="I60" s="51" t="s">
        <v>893</v>
      </c>
    </row>
    <row r="61" spans="2:9">
      <c r="B61" s="219"/>
      <c r="C61" s="51"/>
      <c r="D61" s="51"/>
      <c r="E61" s="51"/>
      <c r="F61" s="51"/>
      <c r="G61" s="51"/>
      <c r="H61" s="51"/>
      <c r="I61" s="51"/>
    </row>
    <row r="62" spans="2:9" ht="30">
      <c r="B62" s="219" t="s">
        <v>1313</v>
      </c>
      <c r="C62" s="221" t="s">
        <v>883</v>
      </c>
      <c r="D62" s="51" t="s">
        <v>884</v>
      </c>
      <c r="E62" s="51">
        <v>2.94</v>
      </c>
      <c r="F62" s="51">
        <v>2.9411764705882351</v>
      </c>
      <c r="G62" s="51">
        <v>2.9411764705882351</v>
      </c>
      <c r="H62" s="51" t="s">
        <v>365</v>
      </c>
      <c r="I62" s="51" t="s">
        <v>898</v>
      </c>
    </row>
    <row r="63" spans="2:9" ht="105">
      <c r="B63" s="219" t="s">
        <v>1313</v>
      </c>
      <c r="C63" s="221" t="s">
        <v>890</v>
      </c>
      <c r="D63" s="51" t="s">
        <v>884</v>
      </c>
      <c r="E63" s="51" t="s">
        <v>1314</v>
      </c>
      <c r="F63" s="51">
        <v>0.45600000000000002</v>
      </c>
      <c r="G63" s="51">
        <v>10.634</v>
      </c>
      <c r="H63" s="51" t="s">
        <v>1315</v>
      </c>
      <c r="I63" s="51" t="s">
        <v>1316</v>
      </c>
    </row>
    <row r="64" spans="2:9" ht="30">
      <c r="B64" s="219" t="s">
        <v>1313</v>
      </c>
      <c r="C64" s="221" t="s">
        <v>890</v>
      </c>
      <c r="D64" s="51" t="s">
        <v>894</v>
      </c>
      <c r="E64" s="51">
        <v>0.15</v>
      </c>
      <c r="F64" s="51">
        <v>0.15</v>
      </c>
      <c r="G64" s="51">
        <v>0.15</v>
      </c>
      <c r="H64" s="51" t="s">
        <v>365</v>
      </c>
      <c r="I64" s="51" t="s">
        <v>901</v>
      </c>
    </row>
    <row r="65" spans="2:9" ht="30">
      <c r="B65" s="219" t="s">
        <v>1313</v>
      </c>
      <c r="C65" s="221" t="s">
        <v>890</v>
      </c>
      <c r="D65" s="51" t="s">
        <v>894</v>
      </c>
      <c r="E65" s="51">
        <v>0.15</v>
      </c>
      <c r="F65" s="51">
        <v>0.15</v>
      </c>
      <c r="G65" s="51">
        <v>0.15</v>
      </c>
      <c r="H65" s="51" t="s">
        <v>365</v>
      </c>
      <c r="I65" s="51" t="s">
        <v>901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Takatzoglou, Nikos [MEDGR]</dc:creator>
  <cp:keywords/>
  <dc:description/>
  <cp:lastModifiedBy/>
  <cp:revision/>
  <dcterms:created xsi:type="dcterms:W3CDTF">2024-04-04T08:35:14Z</dcterms:created>
  <dcterms:modified xsi:type="dcterms:W3CDTF">2025-07-13T21:39:17Z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e15049-849f-48bb-aec6-ec202a70e811_Enabled">
    <vt:lpwstr>true</vt:lpwstr>
  </property>
  <property fmtid="{D5CDD505-2E9C-101B-9397-08002B2CF9AE}" pid="3" name="MSIP_Label_51e15049-849f-48bb-aec6-ec202a70e811_SetDate">
    <vt:lpwstr>2024-05-09T09:47:29Z</vt:lpwstr>
  </property>
  <property fmtid="{D5CDD505-2E9C-101B-9397-08002B2CF9AE}" pid="4" name="MSIP_Label_51e15049-849f-48bb-aec6-ec202a70e811_Method">
    <vt:lpwstr>Standard</vt:lpwstr>
  </property>
  <property fmtid="{D5CDD505-2E9C-101B-9397-08002B2CF9AE}" pid="5" name="MSIP_Label_51e15049-849f-48bb-aec6-ec202a70e811_Name">
    <vt:lpwstr>Restricted II</vt:lpwstr>
  </property>
  <property fmtid="{D5CDD505-2E9C-101B-9397-08002B2CF9AE}" pid="6" name="MSIP_Label_51e15049-849f-48bb-aec6-ec202a70e811_SiteId">
    <vt:lpwstr>3ac94b33-9135-4821-9502-eafda6592a35</vt:lpwstr>
  </property>
  <property fmtid="{D5CDD505-2E9C-101B-9397-08002B2CF9AE}" pid="7" name="MSIP_Label_51e15049-849f-48bb-aec6-ec202a70e811_ActionId">
    <vt:lpwstr>cee330f9-b1b4-4fd7-9e13-4f94102f15d0</vt:lpwstr>
  </property>
  <property fmtid="{D5CDD505-2E9C-101B-9397-08002B2CF9AE}" pid="8" name="MSIP_Label_51e15049-849f-48bb-aec6-ec202a70e811_ContentBits">
    <vt:lpwstr>0</vt:lpwstr>
  </property>
</Properties>
</file>